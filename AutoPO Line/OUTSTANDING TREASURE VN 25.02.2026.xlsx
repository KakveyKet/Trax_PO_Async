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C:\Users\TAC52521301\Desktop\AutoPO Line\"/>
    </mc:Choice>
  </mc:AlternateContent>
  <xr:revisionPtr revIDLastSave="0" documentId="13_ncr:1_{18AC592A-0A4C-4199-9968-6BFA6106B061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Sheet2" sheetId="2" r:id="rId1"/>
    <sheet name="Sheet1" sheetId="1" r:id="rId2"/>
  </sheets>
  <calcPr calcId="191029"/>
  <pivotCaches>
    <pivotCache cacheId="3" r:id="rId3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40" i="1" l="1"/>
  <c r="H141" i="1"/>
  <c r="H140" i="1"/>
  <c r="H139" i="1"/>
  <c r="K8" i="1" l="1"/>
  <c r="K9" i="1"/>
  <c r="K11" i="1"/>
  <c r="K12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  <c r="K71" i="1"/>
  <c r="K72" i="1"/>
  <c r="K73" i="1"/>
  <c r="K74" i="1"/>
  <c r="K75" i="1"/>
  <c r="K76" i="1"/>
  <c r="K77" i="1"/>
  <c r="K78" i="1"/>
  <c r="K79" i="1"/>
  <c r="K80" i="1"/>
  <c r="K81" i="1"/>
  <c r="K82" i="1"/>
  <c r="K83" i="1"/>
  <c r="K84" i="1"/>
  <c r="K85" i="1"/>
  <c r="K86" i="1"/>
  <c r="K87" i="1"/>
  <c r="K88" i="1"/>
  <c r="K89" i="1"/>
  <c r="K90" i="1"/>
  <c r="K91" i="1"/>
  <c r="K92" i="1"/>
  <c r="K93" i="1"/>
  <c r="K94" i="1"/>
  <c r="K95" i="1"/>
  <c r="K96" i="1"/>
  <c r="K97" i="1"/>
  <c r="K98" i="1"/>
  <c r="K99" i="1"/>
  <c r="K100" i="1"/>
  <c r="K101" i="1"/>
  <c r="K102" i="1"/>
  <c r="K103" i="1"/>
  <c r="K104" i="1"/>
  <c r="K105" i="1"/>
  <c r="K106" i="1"/>
  <c r="K107" i="1"/>
  <c r="K108" i="1"/>
  <c r="K109" i="1"/>
  <c r="K110" i="1"/>
  <c r="K111" i="1"/>
  <c r="K112" i="1"/>
  <c r="K113" i="1"/>
  <c r="K114" i="1"/>
  <c r="K115" i="1"/>
  <c r="K116" i="1"/>
  <c r="K117" i="1"/>
  <c r="K118" i="1"/>
  <c r="K119" i="1"/>
  <c r="K120" i="1"/>
  <c r="K121" i="1"/>
  <c r="K122" i="1"/>
  <c r="K123" i="1"/>
  <c r="K124" i="1"/>
  <c r="K125" i="1"/>
  <c r="K126" i="1"/>
  <c r="K127" i="1"/>
  <c r="K128" i="1"/>
  <c r="K129" i="1"/>
  <c r="K130" i="1"/>
  <c r="K131" i="1"/>
  <c r="K132" i="1"/>
  <c r="K133" i="1"/>
</calcChain>
</file>

<file path=xl/sharedStrings.xml><?xml version="1.0" encoding="utf-8"?>
<sst xmlns="http://schemas.openxmlformats.org/spreadsheetml/2006/main" count="1220" uniqueCount="223">
  <si>
    <t>Created date and time</t>
  </si>
  <si>
    <t>Vendor name</t>
  </si>
  <si>
    <t>Purchase order</t>
  </si>
  <si>
    <t>Item number</t>
  </si>
  <si>
    <t>Color</t>
  </si>
  <si>
    <t>Size</t>
  </si>
  <si>
    <t>Quantity</t>
  </si>
  <si>
    <t>Received</t>
  </si>
  <si>
    <t>Deliver remainder</t>
  </si>
  <si>
    <t>T2 Confirm Date</t>
  </si>
  <si>
    <t>Final ETA Date</t>
  </si>
  <si>
    <t>Remark Status(355)</t>
  </si>
  <si>
    <t>Warehouse</t>
  </si>
  <si>
    <t>TREASURE STAR INTERNATIONAL CORP</t>
  </si>
  <si>
    <t>KSSAD0009678</t>
  </si>
  <si>
    <t>70003177-60</t>
  </si>
  <si>
    <t>039A</t>
  </si>
  <si>
    <t>60CUT</t>
  </si>
  <si>
    <t>Okay by Bus Arrived FTY 18-July
SAMPLE ORDER GTM CRD 06-August-2025</t>
  </si>
  <si>
    <t>C1-FB-SP</t>
  </si>
  <si>
    <t>KPOAD0038335</t>
  </si>
  <si>
    <t>62696410-70</t>
  </si>
  <si>
    <t>AFH2</t>
  </si>
  <si>
    <t>70CUT</t>
  </si>
  <si>
    <t>OK DDU,2420Y ETD 04/DEC, ,,, SS26</t>
  </si>
  <si>
    <t>C1-FB-OF</t>
  </si>
  <si>
    <t>KPGAD0010602</t>
  </si>
  <si>
    <t>62583910-56</t>
  </si>
  <si>
    <t>AEDJ</t>
  </si>
  <si>
    <t>56CUT</t>
  </si>
  <si>
    <t>OK ETC 023/DEC</t>
  </si>
  <si>
    <t>KPGAD0010603</t>
  </si>
  <si>
    <t>OK,,part of reduce qty(90yds) ,,, (wait Mrck clear ) BAL;101Y,,459Y ETC 26/NOV, reduce qty(38y)</t>
  </si>
  <si>
    <t>KPOAD0038626</t>
  </si>
  <si>
    <t>AA2S</t>
  </si>
  <si>
    <t>OK,,part of reduce qty(250 yds) ,,, ( wait Marc Clear)  Bal;258y delay,,1173Y ETD 04/DEC</t>
  </si>
  <si>
    <t>OK,,part of reduce qty(250 yds) ,,, ( wait Marc Clear) ,,, 210 yds</t>
  </si>
  <si>
    <t>C1-FB-SF</t>
  </si>
  <si>
    <t>KPOAD0040842</t>
  </si>
  <si>
    <t>70040399-68</t>
  </si>
  <si>
    <t>043A/54F0</t>
  </si>
  <si>
    <t>68CUT</t>
  </si>
  <si>
    <t>C1-OP-RM</t>
  </si>
  <si>
    <t>KDMAD0002286</t>
  </si>
  <si>
    <t>AETG</t>
  </si>
  <si>
    <t>KPOAD26000319</t>
  </si>
  <si>
    <t>70021204-60</t>
  </si>
  <si>
    <t>AFGA</t>
  </si>
  <si>
    <t>ok 149y etc 25/feb, 1741Y ETC 04/FEB,,2318Y ETC 28/JAN, REDUCE 15</t>
  </si>
  <si>
    <t>ok etc 25/feb, add fabric_11-1-2026</t>
  </si>
  <si>
    <t>KDMAD2600070</t>
  </si>
  <si>
    <t>KPOAD26000594</t>
  </si>
  <si>
    <t>70040139-70</t>
  </si>
  <si>
    <t>54F0/043A</t>
  </si>
  <si>
    <t>7314Y etc 25/feb, ETC 11/feb 6209y+1273Y ETC 04/FEB,REDUCE 3108</t>
  </si>
  <si>
    <t>add fabric_21-1-2026</t>
  </si>
  <si>
    <t>KPOAD26000648</t>
  </si>
  <si>
    <t>62723666-53</t>
  </si>
  <si>
    <t>48F0</t>
  </si>
  <si>
    <t>53CUT</t>
  </si>
  <si>
    <t>ok etc 25/feb</t>
  </si>
  <si>
    <t>KPOAD26001073</t>
  </si>
  <si>
    <t>reduce 413</t>
  </si>
  <si>
    <t>Add Fabric_26-1-26</t>
  </si>
  <si>
    <t>KPOAD26001079</t>
  </si>
  <si>
    <t>001A</t>
  </si>
  <si>
    <t>KPOAD26001081</t>
  </si>
  <si>
    <t>A8K4</t>
  </si>
  <si>
    <t>ok 188y etc 25/feb, ,989y etc 11/feb</t>
  </si>
  <si>
    <t>013A</t>
  </si>
  <si>
    <t>OK ETC 25.FEB.Add Fabric_26-1-26 Add Fabric_27-1-2026</t>
  </si>
  <si>
    <t>ok etc 25/feb, Add Fabric_26-1-26</t>
  </si>
  <si>
    <t>KPOAD26001086</t>
  </si>
  <si>
    <t>62712089-60</t>
  </si>
  <si>
    <t>095A</t>
  </si>
  <si>
    <t>OK 12Y ETC 25/FEB, 468y+939Y ETC 04/FEB,,reduce 10</t>
  </si>
  <si>
    <t>KPOAD26001087</t>
  </si>
  <si>
    <t>A2AK</t>
  </si>
  <si>
    <t>KPOAD26001127</t>
  </si>
  <si>
    <t>rev mixsize</t>
  </si>
  <si>
    <t>KDMAD2600228</t>
  </si>
  <si>
    <t>AEWR</t>
  </si>
  <si>
    <t>OK ETC 25.FEB.LINE 37</t>
  </si>
  <si>
    <t>KDMAD2600264</t>
  </si>
  <si>
    <t>KDMAD2600281</t>
  </si>
  <si>
    <t>70034743-63</t>
  </si>
  <si>
    <t>63CUT</t>
  </si>
  <si>
    <t xml:space="preserve">OK ETC 25.FEB, LINE 25 
</t>
  </si>
  <si>
    <t>KDMAD2600282</t>
  </si>
  <si>
    <t>YMG</t>
  </si>
  <si>
    <t>KPOAD26001376</t>
  </si>
  <si>
    <t>60038617-60</t>
  </si>
  <si>
    <t>OK ETC 25.FEB,lc 6/2</t>
  </si>
  <si>
    <t>08S1</t>
  </si>
  <si>
    <t>15966y etc 25/feb,reduce 150 lc 6/2</t>
  </si>
  <si>
    <t>AETC</t>
  </si>
  <si>
    <t>OK ETC 25/FEB, lc 6/2</t>
  </si>
  <si>
    <t>OK ETC 25.FEB</t>
  </si>
  <si>
    <t>Add Fabric_7-2-2026</t>
  </si>
  <si>
    <t>OK ETC 26/FEB, Add Fabric_7-2-2026</t>
  </si>
  <si>
    <t>KPOAD26001381</t>
  </si>
  <si>
    <t>AAG4</t>
  </si>
  <si>
    <t>OK ETC 25/FEB,</t>
  </si>
  <si>
    <t>OK ETC 25/FEB,Add Fabric_7-2-2026</t>
  </si>
  <si>
    <t>KPOAD26001384</t>
  </si>
  <si>
    <t>62696405-60</t>
  </si>
  <si>
    <t>AEE5</t>
  </si>
  <si>
    <t>lc 6/2</t>
  </si>
  <si>
    <t>KPOAD26001392</t>
  </si>
  <si>
    <t>ok etc 25/feb,lc 6/2</t>
  </si>
  <si>
    <t>A6KJ</t>
  </si>
  <si>
    <t>ok etc 25/feb, reduce 72 lc 6/2</t>
  </si>
  <si>
    <t>AAGG</t>
  </si>
  <si>
    <t>ok etc 25/feb, lc 6/2</t>
  </si>
  <si>
    <t>KPOAD26001397</t>
  </si>
  <si>
    <t>AEPW</t>
  </si>
  <si>
    <t>ok etc 25/feb,Add Fabric_7-2-2026</t>
  </si>
  <si>
    <t>ok etc 25/feb, Add Fabric_7-2-2026</t>
  </si>
  <si>
    <t>ok etc 25/feb,lc 6/2 Add Fabric_7-2-2026</t>
  </si>
  <si>
    <t>ok etc 25/feb, lc 6/2 Add Fabric_7-2-2026,14 yAdd FABRIC 14-02-2026</t>
  </si>
  <si>
    <t>KPOAD26001414</t>
  </si>
  <si>
    <t>70015480-56</t>
  </si>
  <si>
    <t>KPOAD26001429</t>
  </si>
  <si>
    <t>ok etc 25/feb, LC 6/2</t>
  </si>
  <si>
    <t>54F0</t>
  </si>
  <si>
    <t>LC 6/2</t>
  </si>
  <si>
    <t>A2QJ</t>
  </si>
  <si>
    <t>OK ETC 25.FEB, LC 6/2</t>
  </si>
  <si>
    <t>AEPX</t>
  </si>
  <si>
    <t>256Y ETC 25.FEB,LC 6/2</t>
  </si>
  <si>
    <t>041A</t>
  </si>
  <si>
    <t>016A</t>
  </si>
  <si>
    <t>OK ETC 25.FEB.Add Fabric_7-2-2026</t>
  </si>
  <si>
    <t>KPOAD26001444</t>
  </si>
  <si>
    <t>70022053-60</t>
  </si>
  <si>
    <t>KPOAD26001446</t>
  </si>
  <si>
    <t>70029416-58</t>
  </si>
  <si>
    <t>58CUT</t>
  </si>
  <si>
    <t>KPOAD26001458</t>
  </si>
  <si>
    <t>ok etc 25/feb,LC 6/2</t>
  </si>
  <si>
    <t>KPOAD26001466</t>
  </si>
  <si>
    <t>LC 6/2 REDUCE 1112</t>
  </si>
  <si>
    <t>KPOAD26001473</t>
  </si>
  <si>
    <t>REDUCE 720 LC 6/2</t>
  </si>
  <si>
    <t>KPOAD26001635</t>
  </si>
  <si>
    <t>REDUCE 210 LC 6/2</t>
  </si>
  <si>
    <t>KSSAD0013385</t>
  </si>
  <si>
    <t>AA2X</t>
  </si>
  <si>
    <t>OK,ETC 25/FEB,,Sample Order MSO01 SS27, 08-Feb-2026</t>
  </si>
  <si>
    <t>AFDE</t>
  </si>
  <si>
    <t>OK,ETC 25/FEB,Sample Order MSO01 SS27, 08-Feb-2026</t>
  </si>
  <si>
    <t>KSSAD0013386</t>
  </si>
  <si>
    <t>Sample Order MSO01 SS27, 08-Feb-2026</t>
  </si>
  <si>
    <t>A8KQ</t>
  </si>
  <si>
    <t>KSSAD0013387</t>
  </si>
  <si>
    <t>OK ETC 25/Feb,, Sample Order MSO01 SS27, 08-Feb-2026</t>
  </si>
  <si>
    <t>OK,ETC 25/Feb,,Sample Order MSO01 SS27, 08-Feb-2026</t>
  </si>
  <si>
    <t>KDMAD2600292</t>
  </si>
  <si>
    <t>ok etc 25/feb, YMG</t>
  </si>
  <si>
    <t>KPOAD26001801</t>
  </si>
  <si>
    <t>ok etc 25/feb, lc 6/2 go ahead 11/2</t>
  </si>
  <si>
    <t>KPOAD26001803</t>
  </si>
  <si>
    <t>014A</t>
  </si>
  <si>
    <t>ok etc 25/feb, buy stock lc 6/2 go ahead 11/2</t>
  </si>
  <si>
    <t>ok etc 25/feb, Damage BSS</t>
  </si>
  <si>
    <t>ok etc 25/feb,</t>
  </si>
  <si>
    <t>ok etc 25/feb,,Damage YMG</t>
  </si>
  <si>
    <t>KDMAD2600303</t>
  </si>
  <si>
    <t>ACEK-P4P</t>
  </si>
  <si>
    <t>ok etc 25.feb.YMG</t>
  </si>
  <si>
    <t>ok etc 25.feb over qty moq</t>
  </si>
  <si>
    <t>KDMAD2600330</t>
  </si>
  <si>
    <t>ABZJ</t>
  </si>
  <si>
    <t>KDMAD2600334</t>
  </si>
  <si>
    <t>70037240-70</t>
  </si>
  <si>
    <t>KDMAD2600357</t>
  </si>
  <si>
    <t>KDMAD2600358</t>
  </si>
  <si>
    <t>KSSAD0013398</t>
  </si>
  <si>
    <t>SAMPLE Order MSO01</t>
  </si>
  <si>
    <t>KDMAD2600363</t>
  </si>
  <si>
    <t>KDMAD2600368</t>
  </si>
  <si>
    <t>135A</t>
  </si>
  <si>
    <t>URGENT 
LINE ; 10 &amp;11</t>
  </si>
  <si>
    <t>KDMAD2600425</t>
  </si>
  <si>
    <t>BSS, NOT YET SENT TO T2</t>
  </si>
  <si>
    <t>KPOAD26001930</t>
  </si>
  <si>
    <t>lc 6/2 add order 14/2, over FC</t>
  </si>
  <si>
    <t>lc 6/2 add order 14/2,Over FC</t>
  </si>
  <si>
    <t>KPOAD26001940</t>
  </si>
  <si>
    <t>lc 9/1 approve 17/2</t>
  </si>
  <si>
    <t>lc 9/1 approve 24/2</t>
  </si>
  <si>
    <t>add fabric_11-1-2026</t>
  </si>
  <si>
    <t>KPOAD26001941</t>
  </si>
  <si>
    <t>AJ34</t>
  </si>
  <si>
    <t>lc 23/1 approve 17/2</t>
  </si>
  <si>
    <t>KPOAD26001942</t>
  </si>
  <si>
    <t>KPOAD26001943</t>
  </si>
  <si>
    <t>lc 9/1 approve 16/2</t>
  </si>
  <si>
    <t>TSI/CSATX260214NC-CAM-ETA 02/03/2026</t>
  </si>
  <si>
    <t xml:space="preserve">outstanding </t>
  </si>
  <si>
    <t>Note</t>
  </si>
  <si>
    <t>completed</t>
  </si>
  <si>
    <t>delay</t>
  </si>
  <si>
    <t>Row Labels</t>
  </si>
  <si>
    <t>(blank)</t>
  </si>
  <si>
    <t>Grand Total</t>
  </si>
  <si>
    <t>Sum of Quantity</t>
  </si>
  <si>
    <t xml:space="preserve">Sum of outstanding </t>
  </si>
  <si>
    <t>(blank) Total</t>
  </si>
  <si>
    <t>delay Total</t>
  </si>
  <si>
    <t>KGS</t>
  </si>
  <si>
    <t>N</t>
  </si>
  <si>
    <t>CSWK</t>
  </si>
  <si>
    <t>NO.</t>
  </si>
  <si>
    <t>ORDER NO.</t>
    <phoneticPr fontId="0" type="noConversion"/>
  </si>
  <si>
    <t>COLOR</t>
    <phoneticPr fontId="0" type="noConversion"/>
  </si>
  <si>
    <t>ROLLS</t>
    <phoneticPr fontId="0" type="noConversion"/>
  </si>
  <si>
    <t>YARDS</t>
    <phoneticPr fontId="0" type="noConversion"/>
  </si>
  <si>
    <t>NET WEIGHT</t>
    <phoneticPr fontId="0" type="noConversion"/>
  </si>
  <si>
    <t>GROSS WEIGHT</t>
    <phoneticPr fontId="0" type="noConversion"/>
  </si>
  <si>
    <t>C/O</t>
    <phoneticPr fontId="0" type="noConversion"/>
  </si>
  <si>
    <t>FOC</t>
  </si>
  <si>
    <t>MÃ SỢI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</si>
</sst>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1" formatCode="_-* #,##0_-;\-* #,##0_-;_-* &quot;-&quot;_-;_-@_-"/>
    <numFmt numFmtId="43" formatCode="_-* #,##0.00_-;\-* #,##0.00_-;_-* &quot;-&quot;??_-;_-@_-"/>
    <numFmt numFmtId="164" formatCode="0.00_ "/>
    <numFmt numFmtId="165" formatCode="0.0_);[Red]\(0.0\)"/>
    <numFmt numFmtId="166" formatCode="0_);[Red]\(0\)"/>
    <numFmt numFmtId="167" formatCode="0.00_);[Red]\(0.00\)"/>
    <numFmt numFmtId="168" formatCode="_(* #,##0.0_);_(* \(#,##0.0\);_(* &quot;-&quot;_);_(@_)"/>
  </numFmts>
  <fonts count="7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name val="Times New Roman"/>
      <family val="1"/>
    </font>
    <font>
      <b/>
      <sz val="10"/>
      <name val="Times New Roman"/>
      <family val="1"/>
    </font>
    <font>
      <u/>
      <sz val="10"/>
      <name val="Times New Roman"/>
      <family val="1"/>
    </font>
    <font>
      <b/>
      <u/>
      <sz val="10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3" fontId="2" fillId="0" borderId="0" applyFont="0" applyFill="0" applyBorder="0" applyAlignment="0" applyProtection="0"/>
    <xf numFmtId="41" fontId="2" fillId="0" borderId="0" applyFont="0" applyFill="0" applyBorder="0" applyAlignment="0" applyProtection="0"/>
  </cellStyleXfs>
  <cellXfs count="33">
    <xf numFmtId="0" fontId="0" fillId="0" borderId="0" xfId="0"/>
    <xf numFmtId="22" fontId="0" fillId="0" borderId="0" xfId="0" applyNumberFormat="1" applyAlignment="1">
      <alignment horizontal="left"/>
    </xf>
    <xf numFmtId="49" fontId="0" fillId="0" borderId="0" xfId="0" applyNumberFormat="1" applyAlignment="1">
      <alignment horizontal="left"/>
    </xf>
    <xf numFmtId="4" fontId="0" fillId="0" borderId="0" xfId="0" applyNumberFormat="1" applyAlignment="1">
      <alignment horizontal="left"/>
    </xf>
    <xf numFmtId="14" fontId="0" fillId="0" borderId="0" xfId="0" applyNumberFormat="1" applyAlignment="1">
      <alignment horizontal="left"/>
    </xf>
    <xf numFmtId="0" fontId="1" fillId="2" borderId="0" xfId="0" applyFont="1" applyFill="1"/>
    <xf numFmtId="4" fontId="0" fillId="3" borderId="0" xfId="0" applyNumberFormat="1" applyFill="1" applyAlignment="1">
      <alignment horizontal="left"/>
    </xf>
    <xf numFmtId="4" fontId="0" fillId="0" borderId="0" xfId="0" applyNumberFormat="1"/>
    <xf numFmtId="14" fontId="0" fillId="0" borderId="0" xfId="0" applyNumberFormat="1"/>
    <xf numFmtId="0" fontId="0" fillId="0" borderId="1" xfId="0" pivotButton="1" applyBorder="1"/>
    <xf numFmtId="0" fontId="0" fillId="0" borderId="1" xfId="0" applyBorder="1"/>
    <xf numFmtId="14" fontId="0" fillId="0" borderId="1" xfId="0" applyNumberFormat="1" applyBorder="1"/>
    <xf numFmtId="4" fontId="0" fillId="0" borderId="1" xfId="0" applyNumberFormat="1" applyBorder="1"/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horizontal="center" vertical="center"/>
    </xf>
    <xf numFmtId="164" fontId="3" fillId="0" borderId="0" xfId="0" applyNumberFormat="1" applyFont="1" applyAlignment="1">
      <alignment horizontal="center" vertical="center"/>
    </xf>
    <xf numFmtId="43" fontId="3" fillId="0" borderId="0" xfId="1" applyFont="1" applyFill="1" applyBorder="1" applyAlignment="1">
      <alignment horizontal="center" vertical="center"/>
    </xf>
    <xf numFmtId="2" fontId="3" fillId="0" borderId="0" xfId="0" applyNumberFormat="1" applyFont="1" applyAlignment="1">
      <alignment horizontal="center" vertical="center"/>
    </xf>
    <xf numFmtId="2" fontId="3" fillId="0" borderId="0" xfId="0" applyNumberFormat="1" applyFont="1" applyAlignment="1">
      <alignment vertical="center"/>
    </xf>
    <xf numFmtId="0" fontId="4" fillId="0" borderId="0" xfId="0" applyFont="1" applyAlignment="1">
      <alignment horizontal="center" vertical="center"/>
    </xf>
    <xf numFmtId="0" fontId="3" fillId="0" borderId="0" xfId="0" applyFont="1" applyAlignment="1">
      <alignment vertical="top"/>
    </xf>
    <xf numFmtId="0" fontId="5" fillId="0" borderId="0" xfId="0" applyFont="1" applyAlignment="1">
      <alignment horizontal="center"/>
    </xf>
    <xf numFmtId="0" fontId="3" fillId="0" borderId="0" xfId="0" applyFont="1" applyAlignment="1">
      <alignment wrapText="1"/>
    </xf>
    <xf numFmtId="165" fontId="5" fillId="0" borderId="0" xfId="0" applyNumberFormat="1" applyFont="1"/>
    <xf numFmtId="166" fontId="3" fillId="0" borderId="0" xfId="0" applyNumberFormat="1" applyFont="1"/>
    <xf numFmtId="167" fontId="5" fillId="0" borderId="0" xfId="0" applyNumberFormat="1" applyFont="1"/>
    <xf numFmtId="168" fontId="3" fillId="0" borderId="0" xfId="2" applyNumberFormat="1" applyFont="1" applyFill="1" applyAlignment="1">
      <alignment horizontal="left"/>
    </xf>
    <xf numFmtId="0" fontId="4" fillId="0" borderId="0" xfId="0" applyFont="1" applyAlignment="1">
      <alignment horizontal="center" vertical="top"/>
    </xf>
    <xf numFmtId="0" fontId="5" fillId="0" borderId="0" xfId="0" applyFont="1" applyAlignment="1">
      <alignment horizontal="center" vertical="top"/>
    </xf>
    <xf numFmtId="0" fontId="6" fillId="0" borderId="0" xfId="0" applyFont="1" applyAlignment="1">
      <alignment horizontal="center" vertical="center"/>
    </xf>
    <xf numFmtId="0" fontId="3" fillId="0" borderId="0" xfId="0" applyFont="1" applyAlignment="1">
      <alignment horizontal="center"/>
    </xf>
    <xf numFmtId="3" fontId="5" fillId="2" borderId="0" xfId="0" applyNumberFormat="1" applyFont="1" applyFill="1" applyAlignment="1">
      <alignment horizontal="center"/>
    </xf>
    <xf numFmtId="0" fontId="3" fillId="2" borderId="0" xfId="0" applyFont="1" applyFill="1" applyAlignment="1">
      <alignment horizontal="center" vertical="center"/>
    </xf>
  </cellXfs>
  <cellStyles count="3">
    <cellStyle name="Comma" xfId="1" builtinId="3"/>
    <cellStyle name="Comma [0]" xfId="2" builtinId="6"/>
    <cellStyle name="Normal" xfId="0" builtinId="0"/>
  </cellStyles>
  <dxfs count="31"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4" formatCode="#,##0.00"/>
      <alignment horizontal="left" vertical="bottom" textRotation="0" wrapText="0" indent="0" justifyLastLine="0" shrinkToFit="0" readingOrder="0"/>
    </dxf>
    <dxf>
      <numFmt numFmtId="4" formatCode="#,##0.00"/>
      <alignment horizontal="left" vertical="bottom" textRotation="0" wrapText="0" indent="0" justifyLastLine="0" shrinkToFit="0" readingOrder="0"/>
    </dxf>
    <dxf>
      <numFmt numFmtId="4" formatCode="#,##0.00"/>
      <alignment horizontal="left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TAC 51321473" refreshedDate="46078.438911342593" createdVersion="8" refreshedVersion="8" minRefreshableVersion="3" recordCount="132" xr:uid="{CDE4EA25-0E1B-462C-915E-63DC6FBF0A03}">
  <cacheSource type="worksheet">
    <worksheetSource name="AxTable1"/>
  </cacheSource>
  <cacheFields count="19">
    <cacheField name="Created date and time" numFmtId="22">
      <sharedItems containsSemiMixedTypes="0" containsNonDate="0" containsDate="1" containsString="0" minDate="2025-07-22T08:27:39" maxDate="2026-02-24T15:34:36"/>
    </cacheField>
    <cacheField name="Vendor name" numFmtId="49">
      <sharedItems/>
    </cacheField>
    <cacheField name="Purchase order" numFmtId="49">
      <sharedItems count="54">
        <s v="KSSAD0009678"/>
        <s v="KPOAD0038335"/>
        <s v="KPGAD0010602"/>
        <s v="KPGAD0010603"/>
        <s v="KPOAD0038626"/>
        <s v="KPOAD0040842"/>
        <s v="KDMAD0002286"/>
        <s v="KPOAD26000319"/>
        <s v="KDMAD2600070"/>
        <s v="KPOAD26000594"/>
        <s v="KPOAD26000648"/>
        <s v="KPOAD26001073"/>
        <s v="KPOAD26001079"/>
        <s v="KPOAD26001081"/>
        <s v="KPOAD26001086"/>
        <s v="KPOAD26001087"/>
        <s v="KPOAD26001127"/>
        <s v="KDMAD2600228"/>
        <s v="KDMAD2600264"/>
        <s v="KDMAD2600281"/>
        <s v="KDMAD2600282"/>
        <s v="KPOAD26001376"/>
        <s v="KPOAD26001381"/>
        <s v="KPOAD26001384"/>
        <s v="KPOAD26001392"/>
        <s v="KPOAD26001397"/>
        <s v="KPOAD26001414"/>
        <s v="KPOAD26001429"/>
        <s v="KPOAD26001444"/>
        <s v="KPOAD26001446"/>
        <s v="KPOAD26001458"/>
        <s v="KPOAD26001466"/>
        <s v="KPOAD26001473"/>
        <s v="KPOAD26001635"/>
        <s v="KSSAD0013385"/>
        <s v="KSSAD0013386"/>
        <s v="KSSAD0013387"/>
        <s v="KDMAD2600292"/>
        <s v="KPOAD26001801"/>
        <s v="KPOAD26001803"/>
        <s v="KDMAD2600303"/>
        <s v="KDMAD2600330"/>
        <s v="KDMAD2600334"/>
        <s v="KDMAD2600357"/>
        <s v="KDMAD2600358"/>
        <s v="KSSAD0013398"/>
        <s v="KDMAD2600363"/>
        <s v="KDMAD2600368"/>
        <s v="KDMAD2600425"/>
        <s v="KPOAD26001930"/>
        <s v="KPOAD26001940"/>
        <s v="KPOAD26001941"/>
        <s v="KPOAD26001942"/>
        <s v="KPOAD26001943"/>
      </sharedItems>
    </cacheField>
    <cacheField name="Item number" numFmtId="49">
      <sharedItems count="15">
        <s v="70003177-60"/>
        <s v="62696410-70"/>
        <s v="62583910-56"/>
        <s v="70040399-68"/>
        <s v="70021204-60"/>
        <s v="70040139-70"/>
        <s v="62723666-53"/>
        <s v="62712089-60"/>
        <s v="70034743-63"/>
        <s v="60038617-60"/>
        <s v="62696405-60"/>
        <s v="70015480-56"/>
        <s v="70022053-60"/>
        <s v="70029416-58"/>
        <s v="70037240-70"/>
      </sharedItems>
    </cacheField>
    <cacheField name="Color" numFmtId="49">
      <sharedItems count="35">
        <s v="039A"/>
        <s v="AFH2"/>
        <s v="AEDJ"/>
        <s v="AA2S"/>
        <s v="043A/54F0"/>
        <s v="AETG"/>
        <s v="AFGA"/>
        <s v="54F0/043A"/>
        <s v="48F0"/>
        <s v="001A"/>
        <s v="A8K4"/>
        <s v="013A"/>
        <s v="095A"/>
        <s v="A2AK"/>
        <s v="AEWR"/>
        <s v="08S1"/>
        <s v="AETC"/>
        <s v="AAG4"/>
        <s v="AEE5"/>
        <s v="A6KJ"/>
        <s v="AAGG"/>
        <s v="AEPW"/>
        <s v="54F0"/>
        <s v="A2QJ"/>
        <s v="AEPX"/>
        <s v="041A"/>
        <s v="016A"/>
        <s v="AA2X"/>
        <s v="AFDE"/>
        <s v="A8KQ"/>
        <s v="014A"/>
        <s v="ACEK-P4P"/>
        <s v="ABZJ"/>
        <s v="135A"/>
        <s v="AJ34"/>
      </sharedItems>
    </cacheField>
    <cacheField name="Size" numFmtId="49">
      <sharedItems/>
    </cacheField>
    <cacheField name="Quantity" numFmtId="4">
      <sharedItems containsSemiMixedTypes="0" containsString="0" containsNumber="1" containsInteger="1" minValue="1" maxValue="45414"/>
    </cacheField>
    <cacheField name="Received" numFmtId="4">
      <sharedItems containsSemiMixedTypes="0" containsString="0" containsNumber="1" containsInteger="1" minValue="0" maxValue="30808"/>
    </cacheField>
    <cacheField name="Deliver remainder" numFmtId="4">
      <sharedItems containsSemiMixedTypes="0" containsString="0" containsNumber="1" minValue="1" maxValue="39205"/>
    </cacheField>
    <cacheField name="TSI/CSATX260214NC-CAM-ETA 02/03/2026" numFmtId="4">
      <sharedItems containsString="0" containsBlank="1" containsNumber="1" containsInteger="1" minValue="1" maxValue="37946"/>
    </cacheField>
    <cacheField name="outstanding " numFmtId="4">
      <sharedItems containsString="0" containsBlank="1" containsNumber="1" containsInteger="1" minValue="-1" maxValue="31891"/>
    </cacheField>
    <cacheField name="Note" numFmtId="4">
      <sharedItems containsBlank="1" count="3">
        <s v="completed"/>
        <s v="delay"/>
        <m/>
      </sharedItems>
    </cacheField>
    <cacheField name="T2 Confirm Date" numFmtId="14">
      <sharedItems containsNonDate="0" containsDate="1" containsString="0" containsBlank="1" minDate="2025-07-14T00:00:00" maxDate="2026-04-03T00:00:00" count="23">
        <d v="2025-07-14T00:00:00"/>
        <d v="2025-11-30T00:00:00"/>
        <d v="2025-12-02T00:00:00"/>
        <d v="2026-02-16T00:00:00"/>
        <d v="2026-01-17T00:00:00"/>
        <d v="2026-02-06T00:00:00"/>
        <d v="2026-02-14T00:00:00"/>
        <d v="2026-03-08T00:00:00"/>
        <d v="2026-02-20T00:00:00"/>
        <d v="2026-03-10T00:00:00"/>
        <d v="2026-02-18T00:00:00"/>
        <d v="2026-03-04T00:00:00"/>
        <d v="2026-02-24T00:00:00"/>
        <d v="2026-03-01T00:00:00"/>
        <d v="2026-03-20T00:00:00"/>
        <d v="2026-02-23T00:00:00"/>
        <d v="2026-03-09T00:00:00"/>
        <d v="2026-03-13T00:00:00"/>
        <d v="2026-03-23T00:00:00"/>
        <d v="2026-04-02T00:00:00"/>
        <d v="2026-03-02T00:00:00"/>
        <d v="2026-03-30T00:00:00"/>
        <m/>
      </sharedItems>
      <fieldGroup par="18"/>
    </cacheField>
    <cacheField name="Final ETA Date" numFmtId="14">
      <sharedItems containsNonDate="0" containsDate="1" containsString="0" containsBlank="1" minDate="2025-07-18T00:00:00" maxDate="2026-04-16T00:00:00"/>
    </cacheField>
    <cacheField name="Remark Status(355)" numFmtId="49">
      <sharedItems containsBlank="1"/>
    </cacheField>
    <cacheField name="Warehouse" numFmtId="49">
      <sharedItems/>
    </cacheField>
    <cacheField name="Months (T2 Confirm Date)" numFmtId="0" databaseField="0">
      <fieldGroup base="12">
        <rangePr groupBy="months" startDate="2025-07-14T00:00:00" endDate="2026-04-03T00:00:00"/>
        <groupItems count="14">
          <s v="&lt;14/07/2025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03/04/2026"/>
        </groupItems>
      </fieldGroup>
    </cacheField>
    <cacheField name="Quarters (T2 Confirm Date)" numFmtId="0" databaseField="0">
      <fieldGroup base="12">
        <rangePr groupBy="quarters" startDate="2025-07-14T00:00:00" endDate="2026-04-03T00:00:00"/>
        <groupItems count="6">
          <s v="&lt;14/07/2025"/>
          <s v="Qtr1"/>
          <s v="Qtr2"/>
          <s v="Qtr3"/>
          <s v="Qtr4"/>
          <s v="&gt;03/04/2026"/>
        </groupItems>
      </fieldGroup>
    </cacheField>
    <cacheField name="Years (T2 Confirm Date)" numFmtId="0" databaseField="0">
      <fieldGroup base="12">
        <rangePr groupBy="years" startDate="2025-07-14T00:00:00" endDate="2026-04-03T00:00:00"/>
        <groupItems count="4">
          <s v="&lt;14/07/2025"/>
          <s v="2025"/>
          <s v="2026"/>
          <s v="&gt;03/04/2026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32">
  <r>
    <d v="2025-07-22T08:27:39"/>
    <s v="TREASURE STAR INTERNATIONAL CORP"/>
    <x v="0"/>
    <x v="0"/>
    <x v="0"/>
    <s v="60CUT"/>
    <n v="26"/>
    <n v="0"/>
    <n v="26"/>
    <m/>
    <m/>
    <x v="0"/>
    <x v="0"/>
    <d v="2025-07-18T00:00:00"/>
    <s v="Okay by Bus Arrived FTY 18-July_x000a_SAMPLE ORDER GTM CRD 06-August-2025"/>
    <s v="C1-FB-SP"/>
  </r>
  <r>
    <d v="2025-11-04T01:49:45"/>
    <s v="TREASURE STAR INTERNATIONAL CORP"/>
    <x v="1"/>
    <x v="1"/>
    <x v="1"/>
    <s v="70CUT"/>
    <n v="2467"/>
    <n v="2420"/>
    <n v="47"/>
    <m/>
    <m/>
    <x v="0"/>
    <x v="1"/>
    <d v="2025-12-24T00:00:00"/>
    <s v="OK DDU,2420Y ETD 04/DEC, ,,, SS26"/>
    <s v="C1-FB-OF"/>
  </r>
  <r>
    <d v="2025-11-06T01:57:37"/>
    <s v="TREASURE STAR INTERNATIONAL CORP"/>
    <x v="2"/>
    <x v="2"/>
    <x v="2"/>
    <s v="56CUT"/>
    <n v="140"/>
    <n v="120"/>
    <n v="20"/>
    <m/>
    <m/>
    <x v="0"/>
    <x v="2"/>
    <d v="2025-12-05T00:00:00"/>
    <s v="OK ETC 023/DEC"/>
    <s v="C1-FB-OF"/>
  </r>
  <r>
    <d v="2025-11-06T01:58:18"/>
    <s v="TREASURE STAR INTERNATIONAL CORP"/>
    <x v="3"/>
    <x v="1"/>
    <x v="2"/>
    <s v="70CUT"/>
    <n v="494"/>
    <n v="480"/>
    <n v="12.03"/>
    <m/>
    <m/>
    <x v="0"/>
    <x v="2"/>
    <d v="2025-12-31T00:00:00"/>
    <s v="OK,,part of reduce qty(90yds) ,,, (wait Mrck clear ) BAL;101Y,,459Y ETC 26/NOV, reduce qty(38y)"/>
    <s v="C1-FB-OF"/>
  </r>
  <r>
    <d v="2025-11-06T14:19:57"/>
    <s v="TREASURE STAR INTERNATIONAL CORP"/>
    <x v="4"/>
    <x v="1"/>
    <x v="3"/>
    <s v="70CUT"/>
    <n v="1213"/>
    <n v="1173"/>
    <n v="40"/>
    <m/>
    <m/>
    <x v="0"/>
    <x v="2"/>
    <d v="2025-12-31T00:00:00"/>
    <s v="OK,,part of reduce qty(250 yds) ,,, ( wait Marc Clear)  Bal;258y delay,,1173Y ETD 04/DEC"/>
    <s v="C1-FB-OF"/>
  </r>
  <r>
    <d v="2025-11-22T12:55:58"/>
    <s v="TREASURE STAR INTERNATIONAL CORP"/>
    <x v="4"/>
    <x v="1"/>
    <x v="3"/>
    <s v="70CUT"/>
    <n v="210"/>
    <n v="0"/>
    <n v="208.85"/>
    <m/>
    <m/>
    <x v="0"/>
    <x v="2"/>
    <d v="2025-12-31T00:00:00"/>
    <s v="OK,,part of reduce qty(250 yds) ,,, ( wait Marc Clear) ,,, 210 yds"/>
    <s v="C1-FB-SF"/>
  </r>
  <r>
    <d v="2025-12-22T20:15:46"/>
    <s v="TREASURE STAR INTERNATIONAL CORP"/>
    <x v="5"/>
    <x v="3"/>
    <x v="4"/>
    <s v="68CUT"/>
    <n v="35037"/>
    <n v="30808"/>
    <n v="4229"/>
    <n v="1938"/>
    <n v="2291"/>
    <x v="1"/>
    <x v="3"/>
    <d v="2026-03-11T00:00:00"/>
    <m/>
    <s v="C1-FB-OF"/>
  </r>
  <r>
    <d v="2025-12-22T20:17:46"/>
    <s v="TREASURE STAR INTERNATIONAL CORP"/>
    <x v="5"/>
    <x v="3"/>
    <x v="4"/>
    <s v="68CUT"/>
    <n v="1"/>
    <n v="0"/>
    <n v="1"/>
    <m/>
    <n v="1"/>
    <x v="1"/>
    <x v="3"/>
    <d v="2026-03-11T00:00:00"/>
    <m/>
    <s v="C1-OP-RM"/>
  </r>
  <r>
    <d v="2025-12-23T08:02:09"/>
    <s v="TREASURE STAR INTERNATIONAL CORP"/>
    <x v="6"/>
    <x v="2"/>
    <x v="5"/>
    <s v="56CUT"/>
    <n v="20"/>
    <n v="3"/>
    <n v="17"/>
    <m/>
    <n v="0"/>
    <x v="0"/>
    <x v="4"/>
    <d v="2026-03-11T00:00:00"/>
    <m/>
    <s v="C1-OP-RM"/>
  </r>
  <r>
    <d v="2026-01-12T15:17:34"/>
    <s v="TREASURE STAR INTERNATIONAL CORP"/>
    <x v="7"/>
    <x v="4"/>
    <x v="6"/>
    <s v="60CUT"/>
    <n v="4182"/>
    <n v="4065"/>
    <n v="117"/>
    <n v="117"/>
    <n v="0"/>
    <x v="0"/>
    <x v="5"/>
    <d v="2026-03-04T00:00:00"/>
    <s v="ok 149y etc 25/feb, 1741Y ETC 04/FEB,,2318Y ETC 28/JAN, REDUCE 15"/>
    <s v="C1-FB-OF"/>
  </r>
  <r>
    <d v="2026-01-12T15:19:48"/>
    <s v="TREASURE STAR INTERNATIONAL CORP"/>
    <x v="7"/>
    <x v="4"/>
    <x v="6"/>
    <s v="60CUT"/>
    <n v="32"/>
    <n v="0"/>
    <n v="32"/>
    <n v="32"/>
    <n v="0"/>
    <x v="0"/>
    <x v="5"/>
    <d v="2026-03-04T00:00:00"/>
    <s v="ok etc 25/feb, add fabric_11-1-2026"/>
    <s v="C1-OP-RM"/>
  </r>
  <r>
    <d v="2026-01-19T10:42:10"/>
    <s v="TREASURE STAR INTERNATIONAL CORP"/>
    <x v="8"/>
    <x v="2"/>
    <x v="2"/>
    <s v="56CUT"/>
    <n v="185"/>
    <n v="18"/>
    <n v="167"/>
    <m/>
    <n v="0"/>
    <x v="0"/>
    <x v="6"/>
    <d v="2026-02-04T00:00:00"/>
    <m/>
    <s v="C1-OP-RM"/>
  </r>
  <r>
    <d v="2026-01-22T09:41:50"/>
    <s v="TREASURE STAR INTERNATIONAL CORP"/>
    <x v="9"/>
    <x v="5"/>
    <x v="7"/>
    <s v="70CUT"/>
    <n v="45414"/>
    <n v="6209"/>
    <n v="39205"/>
    <n v="7314"/>
    <n v="31891"/>
    <x v="2"/>
    <x v="7"/>
    <d v="2026-03-18T00:00:00"/>
    <s v="7314Y etc 25/feb, ETC 11/feb 6209y+1273Y ETC 04/FEB,REDUCE 3108"/>
    <s v="C1-FB-OF"/>
  </r>
  <r>
    <d v="2026-01-22T09:47:22"/>
    <s v="TREASURE STAR INTERNATIONAL CORP"/>
    <x v="9"/>
    <x v="5"/>
    <x v="7"/>
    <s v="70CUT"/>
    <n v="13"/>
    <n v="0"/>
    <n v="13"/>
    <m/>
    <n v="13"/>
    <x v="2"/>
    <x v="7"/>
    <d v="2026-03-18T00:00:00"/>
    <s v="add fabric_21-1-2026"/>
    <s v="C1-OP-RM"/>
  </r>
  <r>
    <d v="2026-01-23T07:59:41"/>
    <s v="TREASURE STAR INTERNATIONAL CORP"/>
    <x v="10"/>
    <x v="6"/>
    <x v="8"/>
    <s v="53CUT"/>
    <n v="498"/>
    <n v="0"/>
    <n v="498"/>
    <m/>
    <n v="498"/>
    <x v="1"/>
    <x v="8"/>
    <d v="2026-03-04T00:00:00"/>
    <m/>
    <s v="C1-FB-OF"/>
  </r>
  <r>
    <d v="2026-01-23T08:19:59"/>
    <s v="TREASURE STAR INTERNATIONAL CORP"/>
    <x v="10"/>
    <x v="6"/>
    <x v="8"/>
    <s v="53CUT"/>
    <n v="2"/>
    <n v="0"/>
    <n v="2"/>
    <m/>
    <n v="2"/>
    <x v="1"/>
    <x v="8"/>
    <d v="2026-03-04T00:00:00"/>
    <m/>
    <s v="C1-OP-RM"/>
  </r>
  <r>
    <d v="2026-01-27T08:04:42"/>
    <s v="TREASURE STAR INTERNATIONAL CORP"/>
    <x v="11"/>
    <x v="5"/>
    <x v="7"/>
    <s v="70CUT"/>
    <n v="8650"/>
    <n v="0"/>
    <n v="8650"/>
    <m/>
    <n v="8650"/>
    <x v="2"/>
    <x v="9"/>
    <d v="2026-03-25T00:00:00"/>
    <s v="reduce 413"/>
    <s v="C1-FB-OF"/>
  </r>
  <r>
    <d v="2026-01-27T08:06:18"/>
    <s v="TREASURE STAR INTERNATIONAL CORP"/>
    <x v="11"/>
    <x v="5"/>
    <x v="7"/>
    <s v="70CUT"/>
    <n v="22"/>
    <n v="0"/>
    <n v="22"/>
    <m/>
    <n v="22"/>
    <x v="2"/>
    <x v="9"/>
    <d v="2026-03-25T00:00:00"/>
    <s v="Add Fabric_26-1-26"/>
    <s v="C1-OP-RM"/>
  </r>
  <r>
    <d v="2026-01-27T08:32:39"/>
    <s v="TREASURE STAR INTERNATIONAL CORP"/>
    <x v="12"/>
    <x v="2"/>
    <x v="9"/>
    <s v="56CUT"/>
    <n v="7"/>
    <n v="0"/>
    <n v="7"/>
    <m/>
    <n v="7"/>
    <x v="1"/>
    <x v="10"/>
    <d v="2026-03-11T00:00:00"/>
    <m/>
    <s v="C1-FB-OF"/>
  </r>
  <r>
    <d v="2026-01-27T08:32:40"/>
    <s v="TREASURE STAR INTERNATIONAL CORP"/>
    <x v="12"/>
    <x v="2"/>
    <x v="9"/>
    <s v="56CUT"/>
    <n v="142"/>
    <n v="0"/>
    <n v="142"/>
    <m/>
    <n v="142"/>
    <x v="1"/>
    <x v="10"/>
    <d v="2026-03-11T00:00:00"/>
    <m/>
    <s v="C1-FB-OF"/>
  </r>
  <r>
    <d v="2026-01-27T08:32:42"/>
    <s v="TREASURE STAR INTERNATIONAL CORP"/>
    <x v="12"/>
    <x v="2"/>
    <x v="9"/>
    <s v="56CUT"/>
    <n v="10"/>
    <n v="0"/>
    <n v="10"/>
    <m/>
    <n v="10"/>
    <x v="1"/>
    <x v="10"/>
    <d v="2026-03-11T00:00:00"/>
    <m/>
    <s v="C1-FB-OF"/>
  </r>
  <r>
    <d v="2026-01-27T08:36:50"/>
    <s v="TREASURE STAR INTERNATIONAL CORP"/>
    <x v="12"/>
    <x v="2"/>
    <x v="9"/>
    <s v="56CUT"/>
    <n v="3"/>
    <n v="0"/>
    <n v="3"/>
    <m/>
    <n v="3"/>
    <x v="1"/>
    <x v="10"/>
    <d v="2026-03-11T00:00:00"/>
    <m/>
    <s v="C1-OP-RM"/>
  </r>
  <r>
    <d v="2026-01-27T08:42:17"/>
    <s v="TREASURE STAR INTERNATIONAL CORP"/>
    <x v="12"/>
    <x v="2"/>
    <x v="9"/>
    <s v="56CUT"/>
    <n v="2"/>
    <n v="0"/>
    <n v="2"/>
    <m/>
    <n v="2"/>
    <x v="1"/>
    <x v="10"/>
    <d v="2026-03-11T00:00:00"/>
    <m/>
    <s v="C1-OP-RM"/>
  </r>
  <r>
    <d v="2026-01-27T08:42:55"/>
    <s v="TREASURE STAR INTERNATIONAL CORP"/>
    <x v="12"/>
    <x v="2"/>
    <x v="9"/>
    <s v="56CUT"/>
    <n v="21"/>
    <n v="0"/>
    <n v="21"/>
    <m/>
    <n v="21"/>
    <x v="1"/>
    <x v="10"/>
    <d v="2026-03-11T00:00:00"/>
    <m/>
    <s v="C1-OP-RM"/>
  </r>
  <r>
    <d v="2026-01-27T08:51:42"/>
    <s v="TREASURE STAR INTERNATIONAL CORP"/>
    <x v="13"/>
    <x v="1"/>
    <x v="10"/>
    <s v="70CUT"/>
    <n v="1175"/>
    <n v="989"/>
    <n v="186"/>
    <n v="186"/>
    <n v="0"/>
    <x v="0"/>
    <x v="10"/>
    <d v="2026-03-04T00:00:00"/>
    <s v="ok 188y etc 25/feb, ,989y etc 11/feb"/>
    <s v="C1-FB-OF"/>
  </r>
  <r>
    <d v="2026-01-27T08:52:07"/>
    <s v="TREASURE STAR INTERNATIONAL CORP"/>
    <x v="13"/>
    <x v="1"/>
    <x v="11"/>
    <s v="70CUT"/>
    <n v="1312"/>
    <n v="0"/>
    <n v="1312"/>
    <n v="1312"/>
    <n v="0"/>
    <x v="0"/>
    <x v="10"/>
    <d v="2026-03-04T00:00:00"/>
    <s v="ok etc 25/feb"/>
    <s v="C1-FB-SF"/>
  </r>
  <r>
    <d v="2026-01-27T08:53:38"/>
    <s v="TREASURE STAR INTERNATIONAL CORP"/>
    <x v="13"/>
    <x v="1"/>
    <x v="10"/>
    <s v="70CUT"/>
    <n v="2"/>
    <n v="0"/>
    <n v="2"/>
    <n v="2"/>
    <n v="0"/>
    <x v="0"/>
    <x v="10"/>
    <d v="2026-03-04T00:00:00"/>
    <s v="OK ETC 25.FEB.Add Fabric_26-1-26 Add Fabric_27-1-2026"/>
    <s v="C1-OP-RM"/>
  </r>
  <r>
    <d v="2026-01-27T09:07:40"/>
    <s v="TREASURE STAR INTERNATIONAL CORP"/>
    <x v="13"/>
    <x v="1"/>
    <x v="11"/>
    <s v="70CUT"/>
    <n v="2"/>
    <n v="0"/>
    <n v="2"/>
    <n v="2"/>
    <n v="0"/>
    <x v="0"/>
    <x v="10"/>
    <d v="2026-03-04T00:00:00"/>
    <s v="ok etc 25/feb, Add Fabric_26-1-26"/>
    <s v="C1-OP-RM"/>
  </r>
  <r>
    <d v="2026-01-27T09:09:37"/>
    <s v="TREASURE STAR INTERNATIONAL CORP"/>
    <x v="14"/>
    <x v="7"/>
    <x v="12"/>
    <s v="60CUT"/>
    <n v="1419"/>
    <n v="1407"/>
    <n v="12"/>
    <n v="12"/>
    <n v="0"/>
    <x v="0"/>
    <x v="10"/>
    <d v="2026-03-04T00:00:00"/>
    <s v="OK 12Y ETC 25/FEB, 468y+939Y ETC 04/FEB,,reduce 10"/>
    <s v="C1-FB-OF"/>
  </r>
  <r>
    <d v="2026-01-27T09:12:59"/>
    <s v="TREASURE STAR INTERNATIONAL CORP"/>
    <x v="15"/>
    <x v="6"/>
    <x v="13"/>
    <s v="53CUT"/>
    <n v="661"/>
    <n v="522"/>
    <n v="139"/>
    <m/>
    <n v="139"/>
    <x v="1"/>
    <x v="10"/>
    <d v="2026-03-11T00:00:00"/>
    <m/>
    <s v="C1-FB-OF"/>
  </r>
  <r>
    <d v="2026-01-27T09:14:10"/>
    <s v="TREASURE STAR INTERNATIONAL CORP"/>
    <x v="15"/>
    <x v="6"/>
    <x v="13"/>
    <s v="53CUT"/>
    <n v="4"/>
    <n v="0"/>
    <n v="4"/>
    <m/>
    <n v="4"/>
    <x v="1"/>
    <x v="10"/>
    <d v="2026-03-11T00:00:00"/>
    <m/>
    <s v="C1-OP-RM"/>
  </r>
  <r>
    <d v="2026-01-27T17:31:56"/>
    <s v="TREASURE STAR INTERNATIONAL CORP"/>
    <x v="16"/>
    <x v="3"/>
    <x v="4"/>
    <s v="68CUT"/>
    <n v="18438"/>
    <n v="0"/>
    <n v="18438"/>
    <m/>
    <n v="18438"/>
    <x v="2"/>
    <x v="11"/>
    <d v="2026-03-18T00:00:00"/>
    <m/>
    <s v="C1-FB-OF"/>
  </r>
  <r>
    <d v="2026-01-27T17:38:28"/>
    <s v="TREASURE STAR INTERNATIONAL CORP"/>
    <x v="16"/>
    <x v="3"/>
    <x v="4"/>
    <s v="68CUT"/>
    <n v="315"/>
    <n v="0"/>
    <n v="315"/>
    <m/>
    <n v="315"/>
    <x v="2"/>
    <x v="11"/>
    <d v="2026-03-18T00:00:00"/>
    <s v="rev mixsize"/>
    <s v="C1-OP-RM"/>
  </r>
  <r>
    <d v="2026-01-29T15:34:36"/>
    <s v="TREASURE STAR INTERNATIONAL CORP"/>
    <x v="17"/>
    <x v="1"/>
    <x v="14"/>
    <s v="70CUT"/>
    <n v="277"/>
    <n v="0"/>
    <n v="277"/>
    <n v="277"/>
    <n v="0"/>
    <x v="0"/>
    <x v="12"/>
    <d v="2026-03-04T00:00:00"/>
    <s v="OK ETC 25.FEB.LINE 37"/>
    <s v="C1-OP-RM"/>
  </r>
  <r>
    <d v="2026-02-04T07:29:24"/>
    <s v="TREASURE STAR INTERNATIONAL CORP"/>
    <x v="18"/>
    <x v="1"/>
    <x v="1"/>
    <s v="70CUT"/>
    <n v="160"/>
    <n v="0"/>
    <n v="160"/>
    <m/>
    <n v="160"/>
    <x v="2"/>
    <x v="13"/>
    <d v="2026-03-11T00:00:00"/>
    <m/>
    <s v="C1-OP-RM"/>
  </r>
  <r>
    <d v="2026-02-06T08:32:56"/>
    <s v="TREASURE STAR INTERNATIONAL CORP"/>
    <x v="19"/>
    <x v="8"/>
    <x v="9"/>
    <s v="63CUT"/>
    <n v="24"/>
    <n v="0"/>
    <n v="24"/>
    <n v="24"/>
    <n v="0"/>
    <x v="0"/>
    <x v="14"/>
    <d v="2026-03-04T00:00:00"/>
    <s v="OK ETC 25.FEB, LINE 25 _x000a_"/>
    <s v="C1-OP-RM"/>
  </r>
  <r>
    <d v="2026-02-06T17:06:37"/>
    <s v="TREASURE STAR INTERNATIONAL CORP"/>
    <x v="20"/>
    <x v="3"/>
    <x v="4"/>
    <s v="68CUT"/>
    <n v="660"/>
    <n v="0"/>
    <n v="660"/>
    <m/>
    <n v="660"/>
    <x v="1"/>
    <x v="15"/>
    <d v="2026-03-11T00:00:00"/>
    <m/>
    <s v="C1-FB-OF"/>
  </r>
  <r>
    <d v="2026-02-08T09:43:12"/>
    <s v="TREASURE STAR INTERNATIONAL CORP"/>
    <x v="21"/>
    <x v="9"/>
    <x v="12"/>
    <s v="60CUT"/>
    <n v="37946"/>
    <n v="0"/>
    <n v="37946"/>
    <n v="37946"/>
    <n v="0"/>
    <x v="0"/>
    <x v="16"/>
    <d v="2026-03-04T00:00:00"/>
    <s v="OK ETC 25.FEB,lc 6/2"/>
    <s v="C1-FB-OF"/>
  </r>
  <r>
    <d v="2026-02-08T09:43:33"/>
    <s v="TREASURE STAR INTERNATIONAL CORP"/>
    <x v="21"/>
    <x v="9"/>
    <x v="15"/>
    <s v="60CUT"/>
    <n v="21485"/>
    <n v="0"/>
    <n v="21485"/>
    <n v="15966"/>
    <n v="5519"/>
    <x v="2"/>
    <x v="16"/>
    <d v="2026-03-18T00:00:00"/>
    <s v="15966y etc 25/feb,reduce 150 lc 6/2"/>
    <s v="C1-FB-OF"/>
  </r>
  <r>
    <d v="2026-02-08T09:43:47"/>
    <s v="TREASURE STAR INTERNATIONAL CORP"/>
    <x v="21"/>
    <x v="9"/>
    <x v="16"/>
    <s v="60CUT"/>
    <n v="1371"/>
    <n v="0"/>
    <n v="1371"/>
    <n v="1371"/>
    <n v="0"/>
    <x v="0"/>
    <x v="16"/>
    <d v="2026-03-04T00:00:00"/>
    <s v="OK ETC 25/FEB, lc 6/2"/>
    <s v="C1-FB-OF"/>
  </r>
  <r>
    <d v="2026-02-08T09:47:05"/>
    <s v="TREASURE STAR INTERNATIONAL CORP"/>
    <x v="21"/>
    <x v="9"/>
    <x v="12"/>
    <s v="60CUT"/>
    <n v="1004"/>
    <n v="0"/>
    <n v="1004"/>
    <n v="1004"/>
    <n v="0"/>
    <x v="0"/>
    <x v="16"/>
    <d v="2026-03-04T00:00:00"/>
    <s v="OK ETC 25.FEB"/>
    <s v="C1-OP-RM"/>
  </r>
  <r>
    <d v="2026-02-08T09:47:25"/>
    <s v="TREASURE STAR INTERNATIONAL CORP"/>
    <x v="21"/>
    <x v="9"/>
    <x v="15"/>
    <s v="60CUT"/>
    <n v="118"/>
    <n v="0"/>
    <n v="118"/>
    <m/>
    <n v="118"/>
    <x v="2"/>
    <x v="16"/>
    <d v="2026-03-18T00:00:00"/>
    <s v="Add Fabric_7-2-2026"/>
    <s v="C1-OP-RM"/>
  </r>
  <r>
    <d v="2026-02-08T09:47:57"/>
    <s v="TREASURE STAR INTERNATIONAL CORP"/>
    <x v="21"/>
    <x v="9"/>
    <x v="16"/>
    <s v="60CUT"/>
    <n v="58"/>
    <n v="0"/>
    <n v="58"/>
    <n v="58"/>
    <n v="0"/>
    <x v="0"/>
    <x v="16"/>
    <d v="2026-03-04T00:00:00"/>
    <s v="OK ETC 26/FEB, Add Fabric_7-2-2026"/>
    <s v="C1-OP-RM"/>
  </r>
  <r>
    <d v="2026-02-08T09:50:15"/>
    <s v="TREASURE STAR INTERNATIONAL CORP"/>
    <x v="22"/>
    <x v="2"/>
    <x v="17"/>
    <s v="56CUT"/>
    <n v="41"/>
    <n v="0"/>
    <n v="41"/>
    <n v="41"/>
    <n v="0"/>
    <x v="0"/>
    <x v="17"/>
    <d v="2026-03-04T00:00:00"/>
    <s v="OK ETC 25/FEB,"/>
    <s v="C1-FB-OF"/>
  </r>
  <r>
    <d v="2026-02-08T09:52:19"/>
    <s v="TREASURE STAR INTERNATIONAL CORP"/>
    <x v="22"/>
    <x v="2"/>
    <x v="17"/>
    <s v="56CUT"/>
    <n v="2"/>
    <n v="0"/>
    <n v="2"/>
    <n v="2"/>
    <n v="0"/>
    <x v="0"/>
    <x v="17"/>
    <d v="2026-03-04T00:00:00"/>
    <s v="OK ETC 25/FEB,Add Fabric_7-2-2026"/>
    <s v="C1-OP-RM"/>
  </r>
  <r>
    <d v="2026-02-08T09:53:02"/>
    <s v="TREASURE STAR INTERNATIONAL CORP"/>
    <x v="23"/>
    <x v="10"/>
    <x v="18"/>
    <s v="60CUT"/>
    <n v="209"/>
    <n v="0"/>
    <n v="209"/>
    <m/>
    <n v="209"/>
    <x v="2"/>
    <x v="17"/>
    <d v="2026-03-25T00:00:00"/>
    <s v="lc 6/2"/>
    <s v="C1-FB-OF"/>
  </r>
  <r>
    <d v="2026-02-08T10:01:32"/>
    <s v="TREASURE STAR INTERNATIONAL CORP"/>
    <x v="24"/>
    <x v="1"/>
    <x v="12"/>
    <s v="70CUT"/>
    <n v="15"/>
    <n v="0"/>
    <n v="15"/>
    <n v="15"/>
    <n v="0"/>
    <x v="0"/>
    <x v="17"/>
    <d v="2026-03-04T00:00:00"/>
    <s v="ok etc 25/feb,lc 6/2"/>
    <s v="C1-FB-OF"/>
  </r>
  <r>
    <d v="2026-02-08T10:01:33"/>
    <s v="TREASURE STAR INTERNATIONAL CORP"/>
    <x v="24"/>
    <x v="1"/>
    <x v="19"/>
    <s v="70CUT"/>
    <n v="537"/>
    <n v="0"/>
    <n v="537"/>
    <n v="537"/>
    <n v="0"/>
    <x v="0"/>
    <x v="17"/>
    <d v="2026-03-04T00:00:00"/>
    <s v="ok etc 25/feb, reduce 72 lc 6/2"/>
    <s v="C1-FB-OF"/>
  </r>
  <r>
    <d v="2026-02-08T10:01:39"/>
    <s v="TREASURE STAR INTERNATIONAL CORP"/>
    <x v="24"/>
    <x v="1"/>
    <x v="20"/>
    <s v="70CUT"/>
    <n v="286"/>
    <n v="0"/>
    <n v="286"/>
    <m/>
    <n v="286"/>
    <x v="2"/>
    <x v="17"/>
    <d v="2026-03-25T00:00:00"/>
    <s v="lc 6/2"/>
    <s v="C1-FB-OF"/>
  </r>
  <r>
    <d v="2026-02-08T10:01:41"/>
    <s v="TREASURE STAR INTERNATIONAL CORP"/>
    <x v="24"/>
    <x v="1"/>
    <x v="17"/>
    <s v="70CUT"/>
    <n v="76"/>
    <n v="0"/>
    <n v="76"/>
    <n v="76"/>
    <n v="0"/>
    <x v="0"/>
    <x v="17"/>
    <d v="2026-03-04T00:00:00"/>
    <s v="ok etc 25/feb, lc 6/2"/>
    <s v="C1-FB-OF"/>
  </r>
  <r>
    <d v="2026-02-08T10:07:46"/>
    <s v="TREASURE STAR INTERNATIONAL CORP"/>
    <x v="25"/>
    <x v="1"/>
    <x v="21"/>
    <s v="70CUT"/>
    <n v="152"/>
    <n v="0"/>
    <n v="152"/>
    <n v="152"/>
    <n v="0"/>
    <x v="0"/>
    <x v="17"/>
    <d v="2026-03-04T00:00:00"/>
    <s v="ok etc 25/feb,lc 6/2"/>
    <s v="C1-FB-OF"/>
  </r>
  <r>
    <d v="2026-02-08T10:08:15"/>
    <s v="TREASURE STAR INTERNATIONAL CORP"/>
    <x v="25"/>
    <x v="1"/>
    <x v="5"/>
    <s v="70CUT"/>
    <n v="302"/>
    <n v="0"/>
    <n v="302"/>
    <n v="302"/>
    <n v="0"/>
    <x v="0"/>
    <x v="17"/>
    <d v="2026-03-04T00:00:00"/>
    <s v="ok etc 25/feb, lc 6/2"/>
    <s v="C1-FB-OF"/>
  </r>
  <r>
    <d v="2026-02-08T10:09:58"/>
    <s v="TREASURE STAR INTERNATIONAL CORP"/>
    <x v="24"/>
    <x v="1"/>
    <x v="12"/>
    <s v="70CUT"/>
    <n v="1"/>
    <n v="0"/>
    <n v="1"/>
    <n v="1"/>
    <n v="0"/>
    <x v="0"/>
    <x v="17"/>
    <d v="2026-03-04T00:00:00"/>
    <s v="ok etc 25/feb,Add Fabric_7-2-2026"/>
    <s v="C1-OP-RM"/>
  </r>
  <r>
    <d v="2026-02-08T10:10:33"/>
    <s v="TREASURE STAR INTERNATIONAL CORP"/>
    <x v="24"/>
    <x v="1"/>
    <x v="19"/>
    <s v="70CUT"/>
    <n v="1"/>
    <n v="0"/>
    <n v="1"/>
    <n v="1"/>
    <n v="0"/>
    <x v="0"/>
    <x v="17"/>
    <d v="2026-03-04T00:00:00"/>
    <s v="ok etc 25/feb, Add Fabric_7-2-2026"/>
    <s v="C1-OP-RM"/>
  </r>
  <r>
    <d v="2026-02-08T10:12:06"/>
    <s v="TREASURE STAR INTERNATIONAL CORP"/>
    <x v="24"/>
    <x v="1"/>
    <x v="17"/>
    <s v="70CUT"/>
    <n v="2"/>
    <n v="0"/>
    <n v="2"/>
    <n v="2"/>
    <n v="0"/>
    <x v="0"/>
    <x v="17"/>
    <d v="2026-03-04T00:00:00"/>
    <s v="ok etc 25/feb, Add Fabric_7-2-2026"/>
    <s v="C1-OP-RM"/>
  </r>
  <r>
    <d v="2026-02-08T10:12:28"/>
    <s v="TREASURE STAR INTERNATIONAL CORP"/>
    <x v="25"/>
    <x v="1"/>
    <x v="10"/>
    <s v="70CUT"/>
    <n v="328"/>
    <n v="0"/>
    <n v="328"/>
    <m/>
    <n v="328"/>
    <x v="2"/>
    <x v="17"/>
    <d v="2026-03-25T00:00:00"/>
    <s v="lc 6/2"/>
    <s v="C1-FB-OF"/>
  </r>
  <r>
    <d v="2026-02-08T10:13:25"/>
    <s v="TREASURE STAR INTERNATIONAL CORP"/>
    <x v="25"/>
    <x v="1"/>
    <x v="21"/>
    <s v="70CUT"/>
    <n v="1"/>
    <n v="0"/>
    <n v="1"/>
    <n v="1"/>
    <n v="0"/>
    <x v="0"/>
    <x v="17"/>
    <d v="2026-03-04T00:00:00"/>
    <s v="ok etc 25/feb,lc 6/2 Add Fabric_7-2-2026"/>
    <s v="C1-OP-RM"/>
  </r>
  <r>
    <d v="2026-02-08T10:13:34"/>
    <s v="TREASURE STAR INTERNATIONAL CORP"/>
    <x v="25"/>
    <x v="1"/>
    <x v="5"/>
    <s v="70CUT"/>
    <n v="15"/>
    <n v="0"/>
    <n v="15"/>
    <n v="15"/>
    <n v="0"/>
    <x v="0"/>
    <x v="17"/>
    <d v="2026-03-04T00:00:00"/>
    <s v="ok etc 25/feb, lc 6/2 Add Fabric_7-2-2026,14 yAdd FABRIC 14-02-2026"/>
    <s v="C1-OP-RM"/>
  </r>
  <r>
    <d v="2026-02-08T10:17:06"/>
    <s v="TREASURE STAR INTERNATIONAL CORP"/>
    <x v="26"/>
    <x v="11"/>
    <x v="12"/>
    <s v="56CUT"/>
    <n v="293"/>
    <n v="0"/>
    <n v="293"/>
    <m/>
    <n v="293"/>
    <x v="2"/>
    <x v="17"/>
    <d v="2026-03-25T00:00:00"/>
    <s v="lc 6/2"/>
    <s v="C1-FB-OF"/>
  </r>
  <r>
    <d v="2026-02-08T10:25:40"/>
    <s v="TREASURE STAR INTERNATIONAL CORP"/>
    <x v="27"/>
    <x v="4"/>
    <x v="12"/>
    <s v="60CUT"/>
    <n v="620"/>
    <n v="0"/>
    <n v="620"/>
    <n v="620"/>
    <n v="0"/>
    <x v="0"/>
    <x v="17"/>
    <d v="2026-03-04T00:00:00"/>
    <s v="ok etc 25/feb, LC 6/2"/>
    <s v="C1-FB-OF"/>
  </r>
  <r>
    <d v="2026-02-08T10:25:42"/>
    <s v="TREASURE STAR INTERNATIONAL CORP"/>
    <x v="27"/>
    <x v="4"/>
    <x v="22"/>
    <s v="60CUT"/>
    <n v="196"/>
    <n v="0"/>
    <n v="196"/>
    <m/>
    <n v="196"/>
    <x v="2"/>
    <x v="17"/>
    <d v="2026-03-25T00:00:00"/>
    <s v="LC 6/2"/>
    <s v="C1-FB-OF"/>
  </r>
  <r>
    <d v="2026-02-08T10:25:47"/>
    <s v="TREASURE STAR INTERNATIONAL CORP"/>
    <x v="27"/>
    <x v="4"/>
    <x v="23"/>
    <s v="60CUT"/>
    <n v="735"/>
    <n v="0"/>
    <n v="735"/>
    <n v="735"/>
    <n v="0"/>
    <x v="0"/>
    <x v="17"/>
    <d v="2026-03-04T00:00:00"/>
    <s v="OK ETC 25.FEB, LC 6/2"/>
    <s v="C1-FB-OF"/>
  </r>
  <r>
    <d v="2026-02-08T10:25:50"/>
    <s v="TREASURE STAR INTERNATIONAL CORP"/>
    <x v="27"/>
    <x v="4"/>
    <x v="24"/>
    <s v="60CUT"/>
    <n v="187"/>
    <n v="0"/>
    <n v="187"/>
    <m/>
    <n v="187"/>
    <x v="2"/>
    <x v="17"/>
    <d v="2026-03-25T00:00:00"/>
    <s v="LC 6/2"/>
    <s v="C1-FB-OF"/>
  </r>
  <r>
    <d v="2026-02-08T10:25:53"/>
    <s v="TREASURE STAR INTERNATIONAL CORP"/>
    <x v="27"/>
    <x v="4"/>
    <x v="6"/>
    <s v="60CUT"/>
    <n v="512"/>
    <n v="0"/>
    <n v="512"/>
    <m/>
    <n v="512"/>
    <x v="2"/>
    <x v="17"/>
    <d v="2026-03-25T00:00:00"/>
    <s v="LC 6/2"/>
    <s v="C1-FB-OF"/>
  </r>
  <r>
    <d v="2026-02-08T10:25:56"/>
    <s v="TREASURE STAR INTERNATIONAL CORP"/>
    <x v="27"/>
    <x v="4"/>
    <x v="15"/>
    <s v="60CUT"/>
    <n v="476"/>
    <n v="0"/>
    <n v="476"/>
    <n v="256"/>
    <n v="220"/>
    <x v="2"/>
    <x v="17"/>
    <d v="2026-03-25T00:00:00"/>
    <s v="256Y ETC 25.FEB,LC 6/2"/>
    <s v="C1-FB-OF"/>
  </r>
  <r>
    <d v="2026-02-08T10:25:58"/>
    <s v="TREASURE STAR INTERNATIONAL CORP"/>
    <x v="27"/>
    <x v="4"/>
    <x v="16"/>
    <s v="60CUT"/>
    <n v="488"/>
    <n v="0"/>
    <n v="488"/>
    <m/>
    <n v="488"/>
    <x v="2"/>
    <x v="17"/>
    <d v="2026-03-25T00:00:00"/>
    <s v="LC 6/2"/>
    <s v="C1-FB-OF"/>
  </r>
  <r>
    <d v="2026-02-08T10:26:00"/>
    <s v="TREASURE STAR INTERNATIONAL CORP"/>
    <x v="27"/>
    <x v="4"/>
    <x v="25"/>
    <s v="60CUT"/>
    <n v="436"/>
    <n v="0"/>
    <n v="436"/>
    <m/>
    <n v="436"/>
    <x v="2"/>
    <x v="17"/>
    <d v="2026-03-25T00:00:00"/>
    <s v="LC 6/2"/>
    <s v="C1-FB-OF"/>
  </r>
  <r>
    <d v="2026-02-08T10:26:01"/>
    <s v="TREASURE STAR INTERNATIONAL CORP"/>
    <x v="27"/>
    <x v="4"/>
    <x v="26"/>
    <s v="60CUT"/>
    <n v="307"/>
    <n v="0"/>
    <n v="307"/>
    <m/>
    <n v="307"/>
    <x v="2"/>
    <x v="17"/>
    <d v="2026-03-25T00:00:00"/>
    <s v="LC 6/2"/>
    <s v="C1-FB-OF"/>
  </r>
  <r>
    <d v="2026-02-08T10:26:03"/>
    <s v="TREASURE STAR INTERNATIONAL CORP"/>
    <x v="27"/>
    <x v="4"/>
    <x v="10"/>
    <s v="60CUT"/>
    <n v="274"/>
    <n v="0"/>
    <n v="274"/>
    <m/>
    <n v="274"/>
    <x v="2"/>
    <x v="17"/>
    <d v="2026-03-25T00:00:00"/>
    <s v="LC 6/2"/>
    <s v="C1-FB-OF"/>
  </r>
  <r>
    <d v="2026-02-08T10:29:53"/>
    <s v="TREASURE STAR INTERNATIONAL CORP"/>
    <x v="27"/>
    <x v="4"/>
    <x v="12"/>
    <s v="60CUT"/>
    <n v="39"/>
    <n v="0"/>
    <n v="39"/>
    <n v="39"/>
    <n v="0"/>
    <x v="0"/>
    <x v="17"/>
    <d v="2026-03-04T00:00:00"/>
    <s v="ok etc 25/feb, Add Fabric_7-2-2026"/>
    <s v="C1-OP-RM"/>
  </r>
  <r>
    <d v="2026-02-08T10:30:05"/>
    <s v="TREASURE STAR INTERNATIONAL CORP"/>
    <x v="27"/>
    <x v="4"/>
    <x v="22"/>
    <s v="60CUT"/>
    <n v="6"/>
    <n v="0"/>
    <n v="6"/>
    <m/>
    <n v="6"/>
    <x v="2"/>
    <x v="17"/>
    <d v="2026-03-25T00:00:00"/>
    <s v="Add Fabric_7-2-2026"/>
    <s v="C1-OP-RM"/>
  </r>
  <r>
    <d v="2026-02-08T10:30:35"/>
    <s v="TREASURE STAR INTERNATIONAL CORP"/>
    <x v="27"/>
    <x v="4"/>
    <x v="23"/>
    <s v="60CUT"/>
    <n v="39"/>
    <n v="0"/>
    <n v="39"/>
    <n v="39"/>
    <n v="0"/>
    <x v="0"/>
    <x v="17"/>
    <d v="2026-03-04T00:00:00"/>
    <s v="OK ETC 25.FEB.Add Fabric_7-2-2026"/>
    <s v="C1-OP-RM"/>
  </r>
  <r>
    <d v="2026-02-08T10:31:01"/>
    <s v="TREASURE STAR INTERNATIONAL CORP"/>
    <x v="27"/>
    <x v="4"/>
    <x v="24"/>
    <s v="60CUT"/>
    <n v="6"/>
    <n v="0"/>
    <n v="6"/>
    <m/>
    <n v="6"/>
    <x v="2"/>
    <x v="17"/>
    <d v="2026-03-25T00:00:00"/>
    <s v="Add Fabric_7-2-2026"/>
    <s v="C1-OP-RM"/>
  </r>
  <r>
    <d v="2026-02-08T10:31:25"/>
    <s v="TREASURE STAR INTERNATIONAL CORP"/>
    <x v="27"/>
    <x v="4"/>
    <x v="6"/>
    <s v="60CUT"/>
    <n v="18"/>
    <n v="0"/>
    <n v="18"/>
    <m/>
    <n v="18"/>
    <x v="2"/>
    <x v="17"/>
    <d v="2026-03-25T00:00:00"/>
    <s v="Add Fabric_7-2-2026"/>
    <s v="C1-OP-RM"/>
  </r>
  <r>
    <d v="2026-02-08T10:31:45"/>
    <s v="TREASURE STAR INTERNATIONAL CORP"/>
    <x v="27"/>
    <x v="4"/>
    <x v="15"/>
    <s v="60CUT"/>
    <n v="6"/>
    <n v="0"/>
    <n v="6"/>
    <m/>
    <n v="6"/>
    <x v="2"/>
    <x v="17"/>
    <d v="2026-03-25T00:00:00"/>
    <s v="Add Fabric_7-2-2026"/>
    <s v="C1-OP-RM"/>
  </r>
  <r>
    <d v="2026-02-08T10:32:11"/>
    <s v="TREASURE STAR INTERNATIONAL CORP"/>
    <x v="27"/>
    <x v="4"/>
    <x v="16"/>
    <s v="60CUT"/>
    <n v="1"/>
    <n v="0"/>
    <n v="1"/>
    <m/>
    <n v="1"/>
    <x v="2"/>
    <x v="17"/>
    <d v="2026-03-25T00:00:00"/>
    <s v="Add Fabric_7-2-2026"/>
    <s v="C1-OP-RM"/>
  </r>
  <r>
    <d v="2026-02-08T10:32:38"/>
    <s v="TREASURE STAR INTERNATIONAL CORP"/>
    <x v="27"/>
    <x v="4"/>
    <x v="25"/>
    <s v="60CUT"/>
    <n v="21"/>
    <n v="0"/>
    <n v="21"/>
    <m/>
    <n v="21"/>
    <x v="2"/>
    <x v="17"/>
    <d v="2026-03-25T00:00:00"/>
    <s v="Add Fabric_7-2-2026"/>
    <s v="C1-OP-RM"/>
  </r>
  <r>
    <d v="2026-02-08T10:32:51"/>
    <s v="TREASURE STAR INTERNATIONAL CORP"/>
    <x v="27"/>
    <x v="4"/>
    <x v="26"/>
    <s v="60CUT"/>
    <n v="16"/>
    <n v="0"/>
    <n v="16"/>
    <m/>
    <n v="16"/>
    <x v="2"/>
    <x v="17"/>
    <d v="2026-03-25T00:00:00"/>
    <s v="Add Fabric_7-2-2026"/>
    <s v="C1-OP-RM"/>
  </r>
  <r>
    <d v="2026-02-08T10:33:12"/>
    <s v="TREASURE STAR INTERNATIONAL CORP"/>
    <x v="27"/>
    <x v="4"/>
    <x v="10"/>
    <s v="60CUT"/>
    <n v="14"/>
    <n v="0"/>
    <n v="14"/>
    <m/>
    <n v="14"/>
    <x v="2"/>
    <x v="17"/>
    <d v="2026-03-25T00:00:00"/>
    <s v="Add Fabric_7-2-2026"/>
    <s v="C1-OP-RM"/>
  </r>
  <r>
    <d v="2026-02-08T10:36:47"/>
    <s v="TREASURE STAR INTERNATIONAL CORP"/>
    <x v="28"/>
    <x v="12"/>
    <x v="12"/>
    <s v="60CUT"/>
    <n v="2168"/>
    <n v="0"/>
    <n v="2168"/>
    <m/>
    <n v="2168"/>
    <x v="2"/>
    <x v="17"/>
    <d v="2026-03-25T00:00:00"/>
    <s v="LC 6/2"/>
    <s v="C1-FB-OF"/>
  </r>
  <r>
    <d v="2026-02-08T10:37:48"/>
    <s v="TREASURE STAR INTERNATIONAL CORP"/>
    <x v="28"/>
    <x v="12"/>
    <x v="12"/>
    <s v="60CUT"/>
    <n v="8"/>
    <n v="0"/>
    <n v="8"/>
    <m/>
    <n v="8"/>
    <x v="2"/>
    <x v="17"/>
    <d v="2026-03-25T00:00:00"/>
    <s v="Add Fabric_7-2-2026"/>
    <s v="C1-OP-RM"/>
  </r>
  <r>
    <d v="2026-02-08T10:40:23"/>
    <s v="TREASURE STAR INTERNATIONAL CORP"/>
    <x v="29"/>
    <x v="13"/>
    <x v="12"/>
    <s v="58CUT"/>
    <n v="302"/>
    <n v="0"/>
    <n v="302"/>
    <m/>
    <n v="302"/>
    <x v="2"/>
    <x v="18"/>
    <d v="2026-04-01T00:00:00"/>
    <s v="LC 6/2"/>
    <s v="C1-FB-OF"/>
  </r>
  <r>
    <d v="2026-02-08T10:46:56"/>
    <s v="TREASURE STAR INTERNATIONAL CORP"/>
    <x v="30"/>
    <x v="8"/>
    <x v="9"/>
    <s v="63CUT"/>
    <n v="351"/>
    <n v="0"/>
    <n v="351"/>
    <n v="351"/>
    <n v="0"/>
    <x v="0"/>
    <x v="17"/>
    <d v="2026-03-04T00:00:00"/>
    <s v="ok etc 25/feb, LC 6/2"/>
    <s v="C1-FB-OF"/>
  </r>
  <r>
    <d v="2026-02-08T10:46:58"/>
    <s v="TREASURE STAR INTERNATIONAL CORP"/>
    <x v="30"/>
    <x v="8"/>
    <x v="5"/>
    <s v="63CUT"/>
    <n v="712"/>
    <n v="0"/>
    <n v="712"/>
    <n v="712"/>
    <n v="0"/>
    <x v="0"/>
    <x v="17"/>
    <d v="2026-03-04T00:00:00"/>
    <s v="ok etc 25/feb,LC 6/2"/>
    <s v="C1-FB-OF"/>
  </r>
  <r>
    <d v="2026-02-08T10:50:14"/>
    <s v="TREASURE STAR INTERNATIONAL CORP"/>
    <x v="30"/>
    <x v="8"/>
    <x v="9"/>
    <s v="63CUT"/>
    <n v="2"/>
    <n v="0"/>
    <n v="2"/>
    <n v="2"/>
    <n v="0"/>
    <x v="0"/>
    <x v="17"/>
    <d v="2026-03-04T00:00:00"/>
    <s v="ok etc 25/feb, Add Fabric_7-2-2026"/>
    <s v="C1-OP-RM"/>
  </r>
  <r>
    <d v="2026-02-08T10:50:39"/>
    <s v="TREASURE STAR INTERNATIONAL CORP"/>
    <x v="30"/>
    <x v="8"/>
    <x v="5"/>
    <s v="63CUT"/>
    <n v="1"/>
    <n v="0"/>
    <n v="1"/>
    <n v="1"/>
    <n v="0"/>
    <x v="0"/>
    <x v="17"/>
    <d v="2026-03-04T00:00:00"/>
    <s v="ok etc 25/feb, Add Fabric_7-2-2026"/>
    <s v="C1-OP-RM"/>
  </r>
  <r>
    <d v="2026-02-08T10:51:50"/>
    <s v="TREASURE STAR INTERNATIONAL CORP"/>
    <x v="31"/>
    <x v="5"/>
    <x v="7"/>
    <s v="70CUT"/>
    <n v="18534"/>
    <n v="0"/>
    <n v="18534"/>
    <m/>
    <n v="18534"/>
    <x v="2"/>
    <x v="19"/>
    <d v="2026-04-15T00:00:00"/>
    <s v="LC 6/2 REDUCE 1112"/>
    <s v="C1-FB-OF"/>
  </r>
  <r>
    <d v="2026-02-08T10:53:32"/>
    <s v="TREASURE STAR INTERNATIONAL CORP"/>
    <x v="31"/>
    <x v="5"/>
    <x v="7"/>
    <s v="70CUT"/>
    <n v="23"/>
    <n v="0"/>
    <n v="23"/>
    <m/>
    <n v="23"/>
    <x v="2"/>
    <x v="19"/>
    <d v="2026-04-15T00:00:00"/>
    <s v="Add Fabric_7-2-2026"/>
    <s v="C1-OP-RM"/>
  </r>
  <r>
    <d v="2026-02-08T10:56:29"/>
    <s v="TREASURE STAR INTERNATIONAL CORP"/>
    <x v="32"/>
    <x v="3"/>
    <x v="4"/>
    <s v="68CUT"/>
    <n v="9717"/>
    <n v="0"/>
    <n v="9717"/>
    <m/>
    <n v="9717"/>
    <x v="2"/>
    <x v="18"/>
    <d v="2026-04-01T00:00:00"/>
    <s v="REDUCE 720 LC 6/2"/>
    <s v="C1-FB-OF"/>
  </r>
  <r>
    <d v="2026-02-08T12:39:15"/>
    <s v="TREASURE STAR INTERNATIONAL CORP"/>
    <x v="33"/>
    <x v="8"/>
    <x v="12"/>
    <s v="63CUT"/>
    <n v="2117"/>
    <n v="0"/>
    <n v="2117"/>
    <m/>
    <n v="2117"/>
    <x v="2"/>
    <x v="17"/>
    <d v="2026-03-25T00:00:00"/>
    <s v="REDUCE 210 LC 6/2"/>
    <s v="C1-FB-OF"/>
  </r>
  <r>
    <d v="2026-02-08T12:39:40"/>
    <s v="TREASURE STAR INTERNATIONAL CORP"/>
    <x v="33"/>
    <x v="8"/>
    <x v="12"/>
    <s v="63CUT"/>
    <n v="6"/>
    <n v="0"/>
    <n v="6"/>
    <m/>
    <n v="6"/>
    <x v="2"/>
    <x v="17"/>
    <d v="2026-03-25T00:00:00"/>
    <s v="Add Fabric_7-2-2026"/>
    <s v="C1-OP-RM"/>
  </r>
  <r>
    <d v="2026-02-08T14:43:56"/>
    <s v="TREASURE STAR INTERNATIONAL CORP"/>
    <x v="34"/>
    <x v="2"/>
    <x v="27"/>
    <s v="56CUT"/>
    <n v="8"/>
    <n v="0"/>
    <n v="8"/>
    <n v="8"/>
    <n v="0"/>
    <x v="0"/>
    <x v="20"/>
    <d v="2026-03-04T00:00:00"/>
    <s v="OK,ETC 25/FEB,,Sample Order MSO01 SS27, 08-Feb-2026"/>
    <s v="C1-FB-SP"/>
  </r>
  <r>
    <d v="2026-02-08T14:43:57"/>
    <s v="TREASURE STAR INTERNATIONAL CORP"/>
    <x v="34"/>
    <x v="2"/>
    <x v="28"/>
    <s v="56CUT"/>
    <n v="8"/>
    <n v="0"/>
    <n v="8"/>
    <n v="8"/>
    <n v="0"/>
    <x v="0"/>
    <x v="20"/>
    <d v="2026-03-04T00:00:00"/>
    <s v="OK,ETC 25/FEB,Sample Order MSO01 SS27, 08-Feb-2026"/>
    <s v="C1-FB-SP"/>
  </r>
  <r>
    <d v="2026-02-08T14:44:46"/>
    <s v="TREASURE STAR INTERNATIONAL CORP"/>
    <x v="35"/>
    <x v="1"/>
    <x v="27"/>
    <s v="70CUT"/>
    <n v="5"/>
    <n v="0"/>
    <n v="5"/>
    <m/>
    <n v="5"/>
    <x v="2"/>
    <x v="20"/>
    <d v="2026-03-10T00:00:00"/>
    <s v="Sample Order MSO01 SS27, 08-Feb-2026"/>
    <s v="C1-FB-SP"/>
  </r>
  <r>
    <d v="2026-02-08T14:44:47"/>
    <s v="TREASURE STAR INTERNATIONAL CORP"/>
    <x v="35"/>
    <x v="1"/>
    <x v="29"/>
    <s v="70CUT"/>
    <n v="5"/>
    <n v="0"/>
    <n v="5"/>
    <m/>
    <n v="5"/>
    <x v="2"/>
    <x v="20"/>
    <d v="2026-03-10T00:00:00"/>
    <s v="Sample Order MSO01 SS27, 08-Feb-2026"/>
    <s v="C1-FB-SP"/>
  </r>
  <r>
    <d v="2026-02-08T14:45:37"/>
    <s v="TREASURE STAR INTERNATIONAL CORP"/>
    <x v="36"/>
    <x v="4"/>
    <x v="22"/>
    <s v="60CUT"/>
    <n v="5"/>
    <n v="0"/>
    <n v="5"/>
    <n v="5"/>
    <n v="0"/>
    <x v="0"/>
    <x v="20"/>
    <d v="2026-03-04T00:00:00"/>
    <s v="OK ETC 25/Feb,, Sample Order MSO01 SS27, 08-Feb-2026"/>
    <s v="C1-FB-SP"/>
  </r>
  <r>
    <d v="2026-02-08T14:45:38"/>
    <s v="TREASURE STAR INTERNATIONAL CORP"/>
    <x v="36"/>
    <x v="4"/>
    <x v="12"/>
    <s v="60CUT"/>
    <n v="5"/>
    <n v="0"/>
    <n v="5"/>
    <n v="6"/>
    <n v="-1"/>
    <x v="0"/>
    <x v="20"/>
    <d v="2026-03-04T00:00:00"/>
    <s v="OK,ETC 25/Feb,,Sample Order MSO01 SS27, 08-Feb-2026"/>
    <s v="C1-FB-SP"/>
  </r>
  <r>
    <d v="2026-02-08T14:45:38"/>
    <s v="TREASURE STAR INTERNATIONAL CORP"/>
    <x v="36"/>
    <x v="4"/>
    <x v="6"/>
    <s v="60CUT"/>
    <n v="5"/>
    <n v="0"/>
    <n v="5"/>
    <n v="5"/>
    <n v="0"/>
    <x v="0"/>
    <x v="20"/>
    <d v="2026-03-04T00:00:00"/>
    <s v="OK,ETC 25/Feb,,Sample Order MSO01 SS27, 08-Feb-2026"/>
    <s v="C1-FB-SP"/>
  </r>
  <r>
    <d v="2026-02-10T10:41:31"/>
    <s v="TREASURE STAR INTERNATIONAL CORP"/>
    <x v="20"/>
    <x v="3"/>
    <x v="4"/>
    <s v="68CUT"/>
    <n v="340"/>
    <n v="0"/>
    <n v="340"/>
    <m/>
    <n v="340"/>
    <x v="1"/>
    <x v="15"/>
    <d v="2026-03-11T00:00:00"/>
    <m/>
    <s v="C1-FB-OF"/>
  </r>
  <r>
    <d v="2026-02-10T12:28:07"/>
    <s v="TREASURE STAR INTERNATIONAL CORP"/>
    <x v="37"/>
    <x v="1"/>
    <x v="19"/>
    <s v="70CUT"/>
    <n v="139"/>
    <n v="0"/>
    <n v="139"/>
    <n v="139"/>
    <n v="0"/>
    <x v="0"/>
    <x v="14"/>
    <d v="2026-03-04T00:00:00"/>
    <s v="ok etc 25/feb, YMG"/>
    <s v="C1-OP-RM"/>
  </r>
  <r>
    <d v="2026-02-10T12:28:42"/>
    <s v="TREASURE STAR INTERNATIONAL CORP"/>
    <x v="37"/>
    <x v="1"/>
    <x v="12"/>
    <s v="70CUT"/>
    <n v="43"/>
    <n v="0"/>
    <n v="43"/>
    <n v="43"/>
    <n v="0"/>
    <x v="0"/>
    <x v="14"/>
    <d v="2026-03-04T00:00:00"/>
    <s v="ok etc 25/feb, YMG"/>
    <s v="C1-OP-RM"/>
  </r>
  <r>
    <d v="2026-02-11T09:00:12"/>
    <s v="TREASURE STAR INTERNATIONAL CORP"/>
    <x v="38"/>
    <x v="2"/>
    <x v="12"/>
    <s v="56CUT"/>
    <n v="13"/>
    <n v="0"/>
    <n v="13"/>
    <n v="13"/>
    <n v="0"/>
    <x v="0"/>
    <x v="14"/>
    <d v="2026-03-04T00:00:00"/>
    <s v="ok etc 25/feb, lc 6/2 go ahead 11/2"/>
    <s v="C1-FB-OF"/>
  </r>
  <r>
    <d v="2026-02-11T09:04:13"/>
    <s v="TREASURE STAR INTERNATIONAL CORP"/>
    <x v="38"/>
    <x v="2"/>
    <x v="12"/>
    <s v="56CUT"/>
    <n v="2"/>
    <n v="0"/>
    <n v="2"/>
    <n v="2"/>
    <n v="0"/>
    <x v="0"/>
    <x v="14"/>
    <d v="2026-03-04T00:00:00"/>
    <s v="ok etc 25/feb, Add Fabric_7-2-2026"/>
    <s v="C1-OP-RM"/>
  </r>
  <r>
    <d v="2026-02-11T09:11:40"/>
    <s v="TREASURE STAR INTERNATIONAL CORP"/>
    <x v="39"/>
    <x v="1"/>
    <x v="30"/>
    <s v="70CUT"/>
    <n v="10"/>
    <n v="0"/>
    <n v="10"/>
    <n v="10"/>
    <n v="0"/>
    <x v="0"/>
    <x v="14"/>
    <d v="2026-03-04T00:00:00"/>
    <s v="ok etc 25/feb, buy stock lc 6/2 go ahead 11/2"/>
    <s v="C1-FB-OF"/>
  </r>
  <r>
    <d v="2026-02-11T09:12:40"/>
    <s v="TREASURE STAR INTERNATIONAL CORP"/>
    <x v="39"/>
    <x v="1"/>
    <x v="12"/>
    <s v="70CUT"/>
    <n v="158"/>
    <n v="0"/>
    <n v="158"/>
    <n v="158"/>
    <n v="0"/>
    <x v="0"/>
    <x v="14"/>
    <d v="2026-03-04T00:00:00"/>
    <s v="ok etc 25/feb, Damage BSS"/>
    <s v="C1-OP-RM"/>
  </r>
  <r>
    <d v="2026-02-11T09:15:09"/>
    <s v="TREASURE STAR INTERNATIONAL CORP"/>
    <x v="39"/>
    <x v="1"/>
    <x v="12"/>
    <s v="70CUT"/>
    <n v="1"/>
    <n v="0"/>
    <n v="1"/>
    <n v="1"/>
    <n v="0"/>
    <x v="0"/>
    <x v="14"/>
    <d v="2026-03-04T00:00:00"/>
    <s v="ok etc 25/feb,Add Fabric_7-2-2026"/>
    <s v="C1-OP-RM"/>
  </r>
  <r>
    <d v="2026-02-11T09:22:17"/>
    <s v="TREASURE STAR INTERNATIONAL CORP"/>
    <x v="39"/>
    <x v="1"/>
    <x v="19"/>
    <s v="70CUT"/>
    <n v="708"/>
    <n v="0"/>
    <n v="708"/>
    <n v="708"/>
    <n v="0"/>
    <x v="0"/>
    <x v="14"/>
    <d v="2026-03-04T00:00:00"/>
    <s v="ok etc 25/feb,"/>
    <s v="C1-FB-OF"/>
  </r>
  <r>
    <d v="2026-02-13T09:47:24"/>
    <s v="TREASURE STAR INTERNATIONAL CORP"/>
    <x v="39"/>
    <x v="1"/>
    <x v="19"/>
    <s v="70CUT"/>
    <n v="242"/>
    <n v="0"/>
    <n v="242"/>
    <n v="242"/>
    <n v="0"/>
    <x v="0"/>
    <x v="14"/>
    <d v="2026-03-04T00:00:00"/>
    <s v="ok etc 25/feb,,Damage YMG"/>
    <s v="C1-OP-RM"/>
  </r>
  <r>
    <d v="2026-02-13T09:58:50"/>
    <s v="TREASURE STAR INTERNATIONAL CORP"/>
    <x v="40"/>
    <x v="1"/>
    <x v="31"/>
    <s v="70CUT"/>
    <n v="38"/>
    <n v="0"/>
    <n v="38"/>
    <n v="38"/>
    <n v="0"/>
    <x v="0"/>
    <x v="14"/>
    <d v="2026-03-04T00:00:00"/>
    <s v="ok etc 25.feb.YMG"/>
    <s v="C1-OP-RM"/>
  </r>
  <r>
    <d v="2026-02-13T09:59:25"/>
    <s v="TREASURE STAR INTERNATIONAL CORP"/>
    <x v="40"/>
    <x v="1"/>
    <x v="31"/>
    <s v="70CUT"/>
    <n v="77"/>
    <n v="0"/>
    <n v="77"/>
    <n v="77"/>
    <n v="0"/>
    <x v="0"/>
    <x v="14"/>
    <d v="2026-03-04T00:00:00"/>
    <s v="ok etc 25.feb over qty moq"/>
    <s v="C1-FB-OF"/>
  </r>
  <r>
    <d v="2026-02-16T15:19:29"/>
    <s v="TREASURE STAR INTERNATIONAL CORP"/>
    <x v="41"/>
    <x v="4"/>
    <x v="32"/>
    <s v="60CUT"/>
    <n v="5"/>
    <n v="0"/>
    <n v="5"/>
    <m/>
    <n v="5"/>
    <x v="2"/>
    <x v="14"/>
    <d v="2026-04-01T00:00:00"/>
    <m/>
    <s v="C1-OP-RM"/>
  </r>
  <r>
    <d v="2026-02-16T15:20:34"/>
    <s v="TREASURE STAR INTERNATIONAL CORP"/>
    <x v="41"/>
    <x v="4"/>
    <x v="6"/>
    <s v="60CUT"/>
    <n v="5"/>
    <n v="0"/>
    <n v="5"/>
    <m/>
    <n v="5"/>
    <x v="2"/>
    <x v="14"/>
    <d v="2026-04-01T00:00:00"/>
    <m/>
    <s v="C1-OP-RM"/>
  </r>
  <r>
    <d v="2026-02-16T15:20:50"/>
    <s v="TREASURE STAR INTERNATIONAL CORP"/>
    <x v="41"/>
    <x v="4"/>
    <x v="12"/>
    <s v="60CUT"/>
    <n v="5"/>
    <n v="0"/>
    <n v="5"/>
    <m/>
    <n v="5"/>
    <x v="2"/>
    <x v="14"/>
    <d v="2026-04-01T00:00:00"/>
    <m/>
    <s v="C1-OP-RM"/>
  </r>
  <r>
    <d v="2026-02-16T15:49:02"/>
    <s v="TREASURE STAR INTERNATIONAL CORP"/>
    <x v="42"/>
    <x v="14"/>
    <x v="19"/>
    <s v="70CUT"/>
    <n v="22"/>
    <n v="0"/>
    <n v="22"/>
    <m/>
    <n v="22"/>
    <x v="2"/>
    <x v="14"/>
    <d v="2026-04-01T00:00:00"/>
    <m/>
    <s v="C1-OP-RM"/>
  </r>
  <r>
    <d v="2026-02-17T14:26:58"/>
    <s v="TREASURE STAR INTERNATIONAL CORP"/>
    <x v="43"/>
    <x v="8"/>
    <x v="5"/>
    <s v="63CUT"/>
    <n v="150"/>
    <n v="0"/>
    <n v="150"/>
    <m/>
    <n v="150"/>
    <x v="2"/>
    <x v="14"/>
    <d v="2026-04-01T00:00:00"/>
    <m/>
    <s v="C1-OP-RM"/>
  </r>
  <r>
    <d v="2026-02-17T14:31:34"/>
    <s v="TREASURE STAR INTERNATIONAL CORP"/>
    <x v="44"/>
    <x v="3"/>
    <x v="4"/>
    <s v="68CUT"/>
    <n v="1110"/>
    <n v="0"/>
    <n v="1110"/>
    <m/>
    <n v="1110"/>
    <x v="2"/>
    <x v="21"/>
    <d v="2026-04-08T00:00:00"/>
    <s v="YMG"/>
    <s v="C1-OP-RM"/>
  </r>
  <r>
    <d v="2026-02-18T13:20:15"/>
    <s v="TREASURE STAR INTERNATIONAL CORP"/>
    <x v="45"/>
    <x v="4"/>
    <x v="15"/>
    <s v="60CUT"/>
    <n v="5"/>
    <n v="0"/>
    <n v="5"/>
    <m/>
    <n v="5"/>
    <x v="2"/>
    <x v="22"/>
    <m/>
    <s v="SAMPLE Order MSO01"/>
    <s v="C1-FB-SP"/>
  </r>
  <r>
    <d v="2026-02-19T08:46:59"/>
    <s v="TREASURE STAR INTERNATIONAL CORP"/>
    <x v="46"/>
    <x v="8"/>
    <x v="5"/>
    <s v="63CUT"/>
    <n v="125"/>
    <n v="0"/>
    <n v="125"/>
    <m/>
    <n v="125"/>
    <x v="2"/>
    <x v="14"/>
    <d v="2026-04-01T00:00:00"/>
    <s v="YMG"/>
    <s v="C1-OP-RM"/>
  </r>
  <r>
    <d v="2026-02-19T09:51:43"/>
    <s v="TREASURE STAR INTERNATIONAL CORP"/>
    <x v="47"/>
    <x v="2"/>
    <x v="33"/>
    <s v="56CUT"/>
    <n v="10"/>
    <n v="0"/>
    <n v="10"/>
    <m/>
    <n v="10"/>
    <x v="2"/>
    <x v="14"/>
    <d v="2026-04-01T00:00:00"/>
    <s v="URGENT _x000a_LINE ; 10 &amp;11"/>
    <s v="C1-OP-RM"/>
  </r>
  <r>
    <d v="2026-02-21T09:30:19"/>
    <s v="TREASURE STAR INTERNATIONAL CORP"/>
    <x v="48"/>
    <x v="0"/>
    <x v="0"/>
    <s v="60CUT"/>
    <n v="60"/>
    <n v="0"/>
    <n v="60"/>
    <m/>
    <n v="60"/>
    <x v="2"/>
    <x v="22"/>
    <m/>
    <s v="BSS, NOT YET SENT TO T2"/>
    <s v="C1-OP-RM"/>
  </r>
  <r>
    <d v="2026-02-23T13:05:25"/>
    <s v="TREASURE STAR INTERNATIONAL CORP"/>
    <x v="49"/>
    <x v="8"/>
    <x v="9"/>
    <s v="63CUT"/>
    <n v="98"/>
    <n v="0"/>
    <n v="98"/>
    <m/>
    <n v="98"/>
    <x v="2"/>
    <x v="14"/>
    <d v="2026-04-01T00:00:00"/>
    <s v="lc 6/2 add order 14/2, over FC"/>
    <s v="C1-FB-OF"/>
  </r>
  <r>
    <d v="2026-02-23T13:05:41"/>
    <s v="TREASURE STAR INTERNATIONAL CORP"/>
    <x v="49"/>
    <x v="8"/>
    <x v="5"/>
    <s v="63CUT"/>
    <n v="416"/>
    <n v="0"/>
    <n v="416"/>
    <m/>
    <n v="416"/>
    <x v="2"/>
    <x v="14"/>
    <d v="2026-04-01T00:00:00"/>
    <s v="lc 6/2 add order 14/2,Over FC"/>
    <s v="C1-FB-OF"/>
  </r>
  <r>
    <d v="2026-02-24T14:40:46"/>
    <s v="TREASURE STAR INTERNATIONAL CORP"/>
    <x v="50"/>
    <x v="1"/>
    <x v="10"/>
    <s v="70CUT"/>
    <n v="2"/>
    <n v="0"/>
    <n v="2"/>
    <m/>
    <n v="2"/>
    <x v="2"/>
    <x v="22"/>
    <m/>
    <s v="lc 9/1 approve 17/2"/>
    <s v="C1-FB-OF"/>
  </r>
  <r>
    <d v="2026-02-24T14:50:23"/>
    <s v="TREASURE STAR INTERNATIONAL CORP"/>
    <x v="50"/>
    <x v="1"/>
    <x v="9"/>
    <s v="70CUT"/>
    <n v="81"/>
    <n v="0"/>
    <n v="81"/>
    <m/>
    <n v="81"/>
    <x v="2"/>
    <x v="22"/>
    <m/>
    <s v="lc 9/1 approve 24/2"/>
    <s v="C1-FB-OF"/>
  </r>
  <r>
    <d v="2026-02-24T14:50:35"/>
    <s v="TREASURE STAR INTERNATIONAL CORP"/>
    <x v="50"/>
    <x v="1"/>
    <x v="9"/>
    <s v="70CUT"/>
    <n v="8"/>
    <n v="0"/>
    <n v="8"/>
    <m/>
    <n v="8"/>
    <x v="2"/>
    <x v="22"/>
    <m/>
    <s v="add fabric_11-1-2026"/>
    <s v="C1-OP-RM"/>
  </r>
  <r>
    <d v="2026-02-24T14:57:16"/>
    <s v="TREASURE STAR INTERNATIONAL CORP"/>
    <x v="51"/>
    <x v="6"/>
    <x v="34"/>
    <s v="53CUT"/>
    <n v="39"/>
    <n v="0"/>
    <n v="39"/>
    <m/>
    <n v="39"/>
    <x v="2"/>
    <x v="22"/>
    <m/>
    <s v="lc 23/1 approve 17/2"/>
    <s v="C1-FB-OF"/>
  </r>
  <r>
    <d v="2026-02-24T15:12:32"/>
    <s v="TREASURE STAR INTERNATIONAL CORP"/>
    <x v="51"/>
    <x v="6"/>
    <x v="34"/>
    <s v="53CUT"/>
    <n v="1"/>
    <n v="0"/>
    <n v="1"/>
    <m/>
    <n v="1"/>
    <x v="2"/>
    <x v="22"/>
    <m/>
    <s v="Add Fabric_26-1-26"/>
    <s v="C1-OP-RM"/>
  </r>
  <r>
    <d v="2026-02-24T15:20:56"/>
    <s v="TREASURE STAR INTERNATIONAL CORP"/>
    <x v="52"/>
    <x v="8"/>
    <x v="9"/>
    <s v="63CUT"/>
    <n v="32"/>
    <n v="0"/>
    <n v="32"/>
    <m/>
    <n v="32"/>
    <x v="2"/>
    <x v="22"/>
    <m/>
    <m/>
    <s v="C1-FB-OF"/>
  </r>
  <r>
    <d v="2026-02-24T15:21:55"/>
    <s v="TREASURE STAR INTERNATIONAL CORP"/>
    <x v="52"/>
    <x v="8"/>
    <x v="9"/>
    <s v="63CUT"/>
    <n v="4"/>
    <n v="0"/>
    <n v="4"/>
    <m/>
    <n v="4"/>
    <x v="2"/>
    <x v="22"/>
    <m/>
    <s v="add fabric_11-1-2026"/>
    <s v="C1-OP-RM"/>
  </r>
  <r>
    <d v="2026-02-24T15:22:38"/>
    <s v="TREASURE STAR INTERNATIONAL CORP"/>
    <x v="52"/>
    <x v="8"/>
    <x v="5"/>
    <s v="63CUT"/>
    <n v="77"/>
    <n v="0"/>
    <n v="77"/>
    <m/>
    <n v="77"/>
    <x v="2"/>
    <x v="22"/>
    <m/>
    <m/>
    <s v="C1-FB-OF"/>
  </r>
  <r>
    <d v="2026-02-24T15:24:19"/>
    <s v="TREASURE STAR INTERNATIONAL CORP"/>
    <x v="52"/>
    <x v="8"/>
    <x v="5"/>
    <s v="63CUT"/>
    <n v="8"/>
    <n v="0"/>
    <n v="8"/>
    <m/>
    <n v="8"/>
    <x v="2"/>
    <x v="22"/>
    <m/>
    <s v="add fabric_11-1-2026"/>
    <s v="C1-OP-RM"/>
  </r>
  <r>
    <d v="2026-02-24T15:34:36"/>
    <s v="TREASURE STAR INTERNATIONAL CORP"/>
    <x v="53"/>
    <x v="3"/>
    <x v="4"/>
    <s v="68CUT"/>
    <n v="1000"/>
    <n v="0"/>
    <n v="1000"/>
    <m/>
    <n v="1000"/>
    <x v="2"/>
    <x v="22"/>
    <m/>
    <s v="lc 9/1 approve 16/2"/>
    <s v="C1-FB-OF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90A8E83-862E-4773-97F1-96EF31507408}" name="PivotTable4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G53" firstHeaderRow="0" firstDataRow="1" firstDataCol="5"/>
  <pivotFields count="19">
    <pivotField numFmtId="22" showAll="0"/>
    <pivotField showAll="0"/>
    <pivotField axis="axisRow" outline="0" showAll="0" defaultSubtotal="0">
      <items count="54">
        <item x="6"/>
        <item x="8"/>
        <item x="17"/>
        <item x="18"/>
        <item x="19"/>
        <item x="20"/>
        <item x="37"/>
        <item x="40"/>
        <item x="41"/>
        <item x="42"/>
        <item x="43"/>
        <item x="44"/>
        <item x="46"/>
        <item x="47"/>
        <item x="48"/>
        <item x="2"/>
        <item x="3"/>
        <item x="1"/>
        <item x="4"/>
        <item x="5"/>
        <item x="7"/>
        <item x="9"/>
        <item x="10"/>
        <item x="11"/>
        <item x="12"/>
        <item x="13"/>
        <item x="14"/>
        <item x="15"/>
        <item x="16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8"/>
        <item x="39"/>
        <item x="49"/>
        <item x="50"/>
        <item x="51"/>
        <item x="52"/>
        <item x="53"/>
        <item x="0"/>
        <item x="34"/>
        <item x="35"/>
        <item x="36"/>
        <item x="45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outline="0" showAll="0" defaultSubtotal="0">
      <items count="15">
        <item x="9"/>
        <item x="2"/>
        <item x="10"/>
        <item x="1"/>
        <item x="7"/>
        <item x="6"/>
        <item x="0"/>
        <item x="11"/>
        <item x="4"/>
        <item x="12"/>
        <item x="13"/>
        <item x="8"/>
        <item x="14"/>
        <item x="5"/>
        <item x="3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outline="0" showAll="0" defaultSubtotal="0">
      <items count="35">
        <item x="9"/>
        <item x="11"/>
        <item x="30"/>
        <item x="26"/>
        <item x="0"/>
        <item x="25"/>
        <item x="4"/>
        <item x="15"/>
        <item x="12"/>
        <item x="33"/>
        <item x="8"/>
        <item x="22"/>
        <item x="7"/>
        <item x="13"/>
        <item x="23"/>
        <item x="19"/>
        <item x="10"/>
        <item x="29"/>
        <item x="3"/>
        <item x="27"/>
        <item x="17"/>
        <item x="20"/>
        <item x="32"/>
        <item x="31"/>
        <item x="2"/>
        <item x="18"/>
        <item x="21"/>
        <item x="24"/>
        <item x="16"/>
        <item x="5"/>
        <item x="14"/>
        <item x="28"/>
        <item x="6"/>
        <item x="1"/>
        <item x="34"/>
      </items>
      <extLst>
        <ext xmlns:x14="http://schemas.microsoft.com/office/spreadsheetml/2009/9/main" uri="{2946ED86-A175-432a-8AC1-64E0C546D7DE}">
          <x14:pivotField fillDownLabels="1"/>
        </ext>
      </extLst>
    </pivotField>
    <pivotField showAll="0"/>
    <pivotField dataField="1" numFmtId="4" showAll="0"/>
    <pivotField numFmtId="4" showAll="0"/>
    <pivotField numFmtId="4" showAll="0"/>
    <pivotField showAll="0"/>
    <pivotField dataField="1" showAll="0"/>
    <pivotField axis="axisRow" outline="0" showAll="0">
      <items count="4">
        <item h="1" x="0"/>
        <item x="1"/>
        <item x="2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outline="0" showAll="0" defaultSubtotal="0">
      <items count="23">
        <item x="0"/>
        <item x="1"/>
        <item x="2"/>
        <item x="4"/>
        <item x="5"/>
        <item x="6"/>
        <item x="3"/>
        <item x="10"/>
        <item x="8"/>
        <item x="15"/>
        <item x="12"/>
        <item x="13"/>
        <item x="20"/>
        <item x="11"/>
        <item x="7"/>
        <item x="16"/>
        <item x="9"/>
        <item x="17"/>
        <item x="14"/>
        <item x="18"/>
        <item x="21"/>
        <item x="19"/>
        <item x="22"/>
      </items>
      <extLst>
        <ext xmlns:x14="http://schemas.microsoft.com/office/spreadsheetml/2009/9/main" uri="{2946ED86-A175-432a-8AC1-64E0C546D7DE}">
          <x14:pivotField fillDownLabels="1"/>
        </ext>
      </extLst>
    </pivotField>
    <pivotField showAll="0"/>
    <pivotField showAll="0"/>
    <pivotField showAll="0"/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showAll="0">
      <items count="5">
        <item sd="0" x="0"/>
        <item sd="0" x="1"/>
        <item sd="0" x="2"/>
        <item sd="0" x="3"/>
        <item t="default"/>
      </items>
    </pivotField>
  </pivotFields>
  <rowFields count="5">
    <field x="11"/>
    <field x="12"/>
    <field x="2"/>
    <field x="3"/>
    <field x="4"/>
  </rowFields>
  <rowItems count="50">
    <i>
      <x v="1"/>
      <x v="6"/>
      <x v="19"/>
      <x v="14"/>
      <x v="6"/>
    </i>
    <i r="1">
      <x v="7"/>
      <x v="24"/>
      <x v="1"/>
      <x/>
    </i>
    <i r="2">
      <x v="27"/>
      <x v="5"/>
      <x v="13"/>
    </i>
    <i r="1">
      <x v="8"/>
      <x v="22"/>
      <x v="5"/>
      <x v="10"/>
    </i>
    <i r="1">
      <x v="9"/>
      <x v="5"/>
      <x v="14"/>
      <x v="6"/>
    </i>
    <i t="default">
      <x v="1"/>
    </i>
    <i>
      <x v="2"/>
      <x v="11"/>
      <x v="3"/>
      <x v="3"/>
      <x v="33"/>
    </i>
    <i r="1">
      <x v="12"/>
      <x v="51"/>
      <x v="3"/>
      <x v="17"/>
    </i>
    <i r="4">
      <x v="19"/>
    </i>
    <i r="1">
      <x v="13"/>
      <x v="28"/>
      <x v="14"/>
      <x v="6"/>
    </i>
    <i r="1">
      <x v="14"/>
      <x v="21"/>
      <x v="13"/>
      <x v="12"/>
    </i>
    <i r="1">
      <x v="15"/>
      <x v="29"/>
      <x/>
      <x v="7"/>
    </i>
    <i r="1">
      <x v="16"/>
      <x v="23"/>
      <x v="13"/>
      <x v="12"/>
    </i>
    <i r="1">
      <x v="17"/>
      <x v="31"/>
      <x v="2"/>
      <x v="25"/>
    </i>
    <i r="2">
      <x v="32"/>
      <x v="3"/>
      <x v="21"/>
    </i>
    <i r="2">
      <x v="33"/>
      <x v="3"/>
      <x v="16"/>
    </i>
    <i r="2">
      <x v="34"/>
      <x v="7"/>
      <x v="8"/>
    </i>
    <i r="2">
      <x v="35"/>
      <x v="8"/>
      <x v="3"/>
    </i>
    <i r="4">
      <x v="5"/>
    </i>
    <i r="4">
      <x v="7"/>
    </i>
    <i r="4">
      <x v="11"/>
    </i>
    <i r="4">
      <x v="16"/>
    </i>
    <i r="4">
      <x v="27"/>
    </i>
    <i r="4">
      <x v="28"/>
    </i>
    <i r="4">
      <x v="32"/>
    </i>
    <i r="2">
      <x v="36"/>
      <x v="9"/>
      <x v="8"/>
    </i>
    <i r="2">
      <x v="41"/>
      <x v="11"/>
      <x v="8"/>
    </i>
    <i r="1">
      <x v="18"/>
      <x v="8"/>
      <x v="8"/>
      <x v="8"/>
    </i>
    <i r="4">
      <x v="22"/>
    </i>
    <i r="4">
      <x v="32"/>
    </i>
    <i r="2">
      <x v="9"/>
      <x v="12"/>
      <x v="15"/>
    </i>
    <i r="2">
      <x v="10"/>
      <x v="11"/>
      <x v="29"/>
    </i>
    <i r="2">
      <x v="12"/>
      <x v="11"/>
      <x v="29"/>
    </i>
    <i r="2">
      <x v="13"/>
      <x v="1"/>
      <x v="9"/>
    </i>
    <i r="2">
      <x v="44"/>
      <x v="11"/>
      <x/>
    </i>
    <i r="4">
      <x v="29"/>
    </i>
    <i r="1">
      <x v="19"/>
      <x v="37"/>
      <x v="10"/>
      <x v="8"/>
    </i>
    <i r="2">
      <x v="40"/>
      <x v="14"/>
      <x v="6"/>
    </i>
    <i r="1">
      <x v="20"/>
      <x v="11"/>
      <x v="14"/>
      <x v="6"/>
    </i>
    <i r="1">
      <x v="21"/>
      <x v="39"/>
      <x v="13"/>
      <x v="12"/>
    </i>
    <i r="1">
      <x v="22"/>
      <x v="14"/>
      <x v="6"/>
      <x v="4"/>
    </i>
    <i r="2">
      <x v="45"/>
      <x v="3"/>
      <x/>
    </i>
    <i r="4">
      <x v="16"/>
    </i>
    <i r="2">
      <x v="46"/>
      <x v="5"/>
      <x v="34"/>
    </i>
    <i r="2">
      <x v="47"/>
      <x v="11"/>
      <x/>
    </i>
    <i r="4">
      <x v="29"/>
    </i>
    <i r="2">
      <x v="48"/>
      <x v="14"/>
      <x v="6"/>
    </i>
    <i r="2">
      <x v="53"/>
      <x v="8"/>
      <x v="7"/>
    </i>
    <i t="default">
      <x v="2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Quantity" fld="6" baseField="0" baseItem="0" numFmtId="4"/>
    <dataField name="Sum of outstanding " fld="10" baseField="0" baseItem="0"/>
  </dataFields>
  <formats count="28">
    <format dxfId="27">
      <pivotArea outline="0" collapsedLevelsAreSubtotals="1" fieldPosition="0">
        <references count="1">
          <reference field="11" count="1" selected="0" defaultSubtotal="1">
            <x v="1"/>
          </reference>
        </references>
      </pivotArea>
    </format>
    <format dxfId="26">
      <pivotArea field="11" type="button" dataOnly="0" labelOnly="1" outline="0" axis="axisRow" fieldPosition="0"/>
    </format>
    <format dxfId="25">
      <pivotArea field="12" type="button" dataOnly="0" labelOnly="1" outline="0" axis="axisRow" fieldPosition="1"/>
    </format>
    <format dxfId="24">
      <pivotArea field="2" type="button" dataOnly="0" labelOnly="1" outline="0" axis="axisRow" fieldPosition="2"/>
    </format>
    <format dxfId="23">
      <pivotArea field="3" type="button" dataOnly="0" labelOnly="1" outline="0" axis="axisRow" fieldPosition="3"/>
    </format>
    <format dxfId="22">
      <pivotArea field="4" type="button" dataOnly="0" labelOnly="1" outline="0" axis="axisRow" fieldPosition="4"/>
    </format>
    <format dxfId="21">
      <pivotArea dataOnly="0" labelOnly="1" fieldPosition="0">
        <references count="1">
          <reference field="11" count="1">
            <x v="1"/>
          </reference>
        </references>
      </pivotArea>
    </format>
    <format dxfId="20">
      <pivotArea dataOnly="0" labelOnly="1" fieldPosition="0">
        <references count="1">
          <reference field="11" count="1" defaultSubtotal="1">
            <x v="1"/>
          </reference>
        </references>
      </pivotArea>
    </format>
    <format dxfId="19">
      <pivotArea dataOnly="0" labelOnly="1" fieldPosition="0">
        <references count="2">
          <reference field="11" count="1" selected="0">
            <x v="1"/>
          </reference>
          <reference field="12" count="6">
            <x v="3"/>
            <x v="5"/>
            <x v="6"/>
            <x v="7"/>
            <x v="8"/>
            <x v="9"/>
          </reference>
        </references>
      </pivotArea>
    </format>
    <format dxfId="18">
      <pivotArea dataOnly="0" labelOnly="1" fieldPosition="0">
        <references count="3">
          <reference field="2" count="1">
            <x v="0"/>
          </reference>
          <reference field="11" count="1" selected="0">
            <x v="1"/>
          </reference>
          <reference field="12" count="1" selected="0">
            <x v="3"/>
          </reference>
        </references>
      </pivotArea>
    </format>
    <format dxfId="17">
      <pivotArea dataOnly="0" labelOnly="1" fieldPosition="0">
        <references count="3">
          <reference field="2" count="1">
            <x v="1"/>
          </reference>
          <reference field="11" count="1" selected="0">
            <x v="1"/>
          </reference>
          <reference field="12" count="1" selected="0">
            <x v="5"/>
          </reference>
        </references>
      </pivotArea>
    </format>
    <format dxfId="16">
      <pivotArea dataOnly="0" labelOnly="1" fieldPosition="0">
        <references count="3">
          <reference field="2" count="1">
            <x v="19"/>
          </reference>
          <reference field="11" count="1" selected="0">
            <x v="1"/>
          </reference>
          <reference field="12" count="1" selected="0">
            <x v="6"/>
          </reference>
        </references>
      </pivotArea>
    </format>
    <format dxfId="15">
      <pivotArea dataOnly="0" labelOnly="1" fieldPosition="0">
        <references count="3">
          <reference field="2" count="2">
            <x v="24"/>
            <x v="27"/>
          </reference>
          <reference field="11" count="1" selected="0">
            <x v="1"/>
          </reference>
          <reference field="12" count="1" selected="0">
            <x v="7"/>
          </reference>
        </references>
      </pivotArea>
    </format>
    <format dxfId="14">
      <pivotArea dataOnly="0" labelOnly="1" fieldPosition="0">
        <references count="3">
          <reference field="2" count="1">
            <x v="22"/>
          </reference>
          <reference field="11" count="1" selected="0">
            <x v="1"/>
          </reference>
          <reference field="12" count="1" selected="0">
            <x v="8"/>
          </reference>
        </references>
      </pivotArea>
    </format>
    <format dxfId="13">
      <pivotArea dataOnly="0" labelOnly="1" fieldPosition="0">
        <references count="3">
          <reference field="2" count="1">
            <x v="5"/>
          </reference>
          <reference field="11" count="1" selected="0">
            <x v="1"/>
          </reference>
          <reference field="12" count="1" selected="0">
            <x v="9"/>
          </reference>
        </references>
      </pivotArea>
    </format>
    <format dxfId="12">
      <pivotArea dataOnly="0" labelOnly="1" fieldPosition="0">
        <references count="4">
          <reference field="2" count="1" selected="0">
            <x v="0"/>
          </reference>
          <reference field="3" count="1">
            <x v="1"/>
          </reference>
          <reference field="11" count="1" selected="0">
            <x v="1"/>
          </reference>
          <reference field="12" count="1" selected="0">
            <x v="3"/>
          </reference>
        </references>
      </pivotArea>
    </format>
    <format dxfId="11">
      <pivotArea dataOnly="0" labelOnly="1" fieldPosition="0">
        <references count="4">
          <reference field="2" count="1" selected="0">
            <x v="19"/>
          </reference>
          <reference field="3" count="1">
            <x v="14"/>
          </reference>
          <reference field="11" count="1" selected="0">
            <x v="1"/>
          </reference>
          <reference field="12" count="1" selected="0">
            <x v="6"/>
          </reference>
        </references>
      </pivotArea>
    </format>
    <format dxfId="10">
      <pivotArea dataOnly="0" labelOnly="1" fieldPosition="0">
        <references count="4">
          <reference field="2" count="1" selected="0">
            <x v="24"/>
          </reference>
          <reference field="3" count="1">
            <x v="1"/>
          </reference>
          <reference field="11" count="1" selected="0">
            <x v="1"/>
          </reference>
          <reference field="12" count="1" selected="0">
            <x v="7"/>
          </reference>
        </references>
      </pivotArea>
    </format>
    <format dxfId="9">
      <pivotArea dataOnly="0" labelOnly="1" fieldPosition="0">
        <references count="4">
          <reference field="2" count="1" selected="0">
            <x v="27"/>
          </reference>
          <reference field="3" count="1">
            <x v="5"/>
          </reference>
          <reference field="11" count="1" selected="0">
            <x v="1"/>
          </reference>
          <reference field="12" count="1" selected="0">
            <x v="7"/>
          </reference>
        </references>
      </pivotArea>
    </format>
    <format dxfId="8">
      <pivotArea dataOnly="0" labelOnly="1" fieldPosition="0">
        <references count="4">
          <reference field="2" count="1" selected="0">
            <x v="5"/>
          </reference>
          <reference field="3" count="1">
            <x v="14"/>
          </reference>
          <reference field="11" count="1" selected="0">
            <x v="1"/>
          </reference>
          <reference field="12" count="1" selected="0">
            <x v="9"/>
          </reference>
        </references>
      </pivotArea>
    </format>
    <format dxfId="7">
      <pivotArea dataOnly="0" labelOnly="1" fieldPosition="0">
        <references count="5">
          <reference field="2" count="1" selected="0">
            <x v="0"/>
          </reference>
          <reference field="3" count="1" selected="0">
            <x v="1"/>
          </reference>
          <reference field="4" count="1">
            <x v="29"/>
          </reference>
          <reference field="11" count="1" selected="0">
            <x v="1"/>
          </reference>
          <reference field="12" count="1" selected="0">
            <x v="3"/>
          </reference>
        </references>
      </pivotArea>
    </format>
    <format dxfId="6">
      <pivotArea dataOnly="0" labelOnly="1" fieldPosition="0">
        <references count="5">
          <reference field="2" count="1" selected="0">
            <x v="1"/>
          </reference>
          <reference field="3" count="1" selected="0">
            <x v="1"/>
          </reference>
          <reference field="4" count="1">
            <x v="24"/>
          </reference>
          <reference field="11" count="1" selected="0">
            <x v="1"/>
          </reference>
          <reference field="12" count="1" selected="0">
            <x v="5"/>
          </reference>
        </references>
      </pivotArea>
    </format>
    <format dxfId="5">
      <pivotArea dataOnly="0" labelOnly="1" fieldPosition="0">
        <references count="5">
          <reference field="2" count="1" selected="0">
            <x v="19"/>
          </reference>
          <reference field="3" count="1" selected="0">
            <x v="14"/>
          </reference>
          <reference field="4" count="1">
            <x v="6"/>
          </reference>
          <reference field="11" count="1" selected="0">
            <x v="1"/>
          </reference>
          <reference field="12" count="1" selected="0">
            <x v="6"/>
          </reference>
        </references>
      </pivotArea>
    </format>
    <format dxfId="4">
      <pivotArea dataOnly="0" labelOnly="1" fieldPosition="0">
        <references count="5">
          <reference field="2" count="1" selected="0">
            <x v="24"/>
          </reference>
          <reference field="3" count="1" selected="0">
            <x v="1"/>
          </reference>
          <reference field="4" count="1">
            <x v="0"/>
          </reference>
          <reference field="11" count="1" selected="0">
            <x v="1"/>
          </reference>
          <reference field="12" count="1" selected="0">
            <x v="7"/>
          </reference>
        </references>
      </pivotArea>
    </format>
    <format dxfId="3">
      <pivotArea dataOnly="0" labelOnly="1" fieldPosition="0">
        <references count="5">
          <reference field="2" count="1" selected="0">
            <x v="27"/>
          </reference>
          <reference field="3" count="1" selected="0">
            <x v="5"/>
          </reference>
          <reference field="4" count="1">
            <x v="13"/>
          </reference>
          <reference field="11" count="1" selected="0">
            <x v="1"/>
          </reference>
          <reference field="12" count="1" selected="0">
            <x v="7"/>
          </reference>
        </references>
      </pivotArea>
    </format>
    <format dxfId="2">
      <pivotArea dataOnly="0" labelOnly="1" fieldPosition="0">
        <references count="5">
          <reference field="2" count="1" selected="0">
            <x v="22"/>
          </reference>
          <reference field="3" count="1" selected="0">
            <x v="5"/>
          </reference>
          <reference field="4" count="1">
            <x v="10"/>
          </reference>
          <reference field="11" count="1" selected="0">
            <x v="1"/>
          </reference>
          <reference field="12" count="1" selected="0">
            <x v="8"/>
          </reference>
        </references>
      </pivotArea>
    </format>
    <format dxfId="1">
      <pivotArea dataOnly="0" labelOnly="1" fieldPosition="0">
        <references count="5">
          <reference field="2" count="1" selected="0">
            <x v="5"/>
          </reference>
          <reference field="3" count="1" selected="0">
            <x v="14"/>
          </reference>
          <reference field="4" count="1">
            <x v="6"/>
          </reference>
          <reference field="11" count="1" selected="0">
            <x v="1"/>
          </reference>
          <reference field="12" count="1" selected="0">
            <x v="9"/>
          </reference>
        </references>
      </pivotArea>
    </format>
    <format dxfId="0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xTable1" displayName="AxTable1" ref="A1:P133" totalsRowShown="0">
  <autoFilter ref="A1:P133" xr:uid="{00000000-0009-0000-0100-000001000000}">
    <filterColumn colId="2">
      <filters>
        <filter val="KPOAD26001376"/>
      </filters>
    </filterColumn>
    <filterColumn colId="9">
      <customFilters>
        <customFilter operator="notEqual" val=" "/>
      </customFilters>
    </filterColumn>
  </autoFilter>
  <tableColumns count="16">
    <tableColumn id="1" xr3:uid="{00000000-0010-0000-0000-000001000000}" name="Created date and time"/>
    <tableColumn id="6" xr3:uid="{00000000-0010-0000-0000-000006000000}" name="Vendor name"/>
    <tableColumn id="8" xr3:uid="{00000000-0010-0000-0000-000008000000}" name="Purchase order"/>
    <tableColumn id="11" xr3:uid="{00000000-0010-0000-0000-00000B000000}" name="Item number"/>
    <tableColumn id="15" xr3:uid="{00000000-0010-0000-0000-00000F000000}" name="Color"/>
    <tableColumn id="16" xr3:uid="{00000000-0010-0000-0000-000010000000}" name="Size"/>
    <tableColumn id="17" xr3:uid="{00000000-0010-0000-0000-000011000000}" name="Quantity"/>
    <tableColumn id="18" xr3:uid="{00000000-0010-0000-0000-000012000000}" name="Received"/>
    <tableColumn id="19" xr3:uid="{00000000-0010-0000-0000-000013000000}" name="Deliver remainder"/>
    <tableColumn id="4" xr3:uid="{833BA690-C981-48E2-9F35-65EB90ACC64B}" name="TSI/CSATX260214NC-CAM-ETA 02/03/2026" dataDxfId="30"/>
    <tableColumn id="3" xr3:uid="{8D96D274-0651-41A2-98CD-1A2649D01CC9}" name="outstanding " dataDxfId="29">
      <calculatedColumnFormula>AxTable1[[#This Row],[Deliver remainder]]-AxTable1[[#This Row],[TSI/CSATX260214NC-CAM-ETA 02/03/2026]]</calculatedColumnFormula>
    </tableColumn>
    <tableColumn id="2" xr3:uid="{B3261707-7D46-4B22-825A-3DADB191FFE5}" name="Note" dataDxfId="28"/>
    <tableColumn id="21" xr3:uid="{00000000-0010-0000-0000-000015000000}" name="T2 Confirm Date"/>
    <tableColumn id="22" xr3:uid="{00000000-0010-0000-0000-000016000000}" name="Final ETA Date"/>
    <tableColumn id="23" xr3:uid="{00000000-0010-0000-0000-000017000000}" name="Remark Status(355)"/>
    <tableColumn id="24" xr3:uid="{00000000-0010-0000-0000-000018000000}" name="Warehouse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67C75A-FAAF-45BD-89F0-78CAB1BA9324}">
  <dimension ref="A3:G53"/>
  <sheetViews>
    <sheetView tabSelected="1" topLeftCell="A34" zoomScale="115" zoomScaleNormal="115" workbookViewId="0">
      <selection activeCell="G58" sqref="G58"/>
    </sheetView>
  </sheetViews>
  <sheetFormatPr defaultRowHeight="15" x14ac:dyDescent="0.25"/>
  <cols>
    <col min="1" max="1" width="12.5703125" bestFit="1" customWidth="1"/>
    <col min="2" max="2" width="16.85546875" bestFit="1" customWidth="1"/>
    <col min="3" max="3" width="26.5703125" customWidth="1"/>
    <col min="4" max="4" width="14" bestFit="1" customWidth="1"/>
    <col min="5" max="5" width="13.5703125" customWidth="1"/>
    <col min="6" max="6" width="14.42578125" bestFit="1" customWidth="1"/>
    <col min="7" max="7" width="17.85546875" bestFit="1" customWidth="1"/>
  </cols>
  <sheetData>
    <row r="3" spans="1:7" x14ac:dyDescent="0.25">
      <c r="A3" s="9" t="s">
        <v>203</v>
      </c>
      <c r="B3" s="9" t="s">
        <v>9</v>
      </c>
      <c r="C3" s="9" t="s">
        <v>2</v>
      </c>
      <c r="D3" s="9" t="s">
        <v>3</v>
      </c>
      <c r="E3" s="9" t="s">
        <v>4</v>
      </c>
      <c r="F3" s="10" t="s">
        <v>206</v>
      </c>
      <c r="G3" s="10" t="s">
        <v>207</v>
      </c>
    </row>
    <row r="4" spans="1:7" x14ac:dyDescent="0.25">
      <c r="A4" s="10" t="s">
        <v>202</v>
      </c>
      <c r="B4" s="11">
        <v>46069</v>
      </c>
      <c r="C4" s="10" t="s">
        <v>38</v>
      </c>
      <c r="D4" s="10" t="s">
        <v>39</v>
      </c>
      <c r="E4" s="10" t="s">
        <v>40</v>
      </c>
      <c r="F4" s="7">
        <v>35038</v>
      </c>
      <c r="G4">
        <v>2292</v>
      </c>
    </row>
    <row r="5" spans="1:7" x14ac:dyDescent="0.25">
      <c r="A5" s="10" t="s">
        <v>202</v>
      </c>
      <c r="B5" s="11">
        <v>46071</v>
      </c>
      <c r="C5" s="10" t="s">
        <v>64</v>
      </c>
      <c r="D5" s="10" t="s">
        <v>27</v>
      </c>
      <c r="E5" s="10" t="s">
        <v>65</v>
      </c>
      <c r="F5" s="7">
        <v>185</v>
      </c>
      <c r="G5">
        <v>185</v>
      </c>
    </row>
    <row r="6" spans="1:7" x14ac:dyDescent="0.25">
      <c r="A6" s="10" t="s">
        <v>202</v>
      </c>
      <c r="B6" s="11">
        <v>46071</v>
      </c>
      <c r="C6" s="10" t="s">
        <v>76</v>
      </c>
      <c r="D6" s="10" t="s">
        <v>57</v>
      </c>
      <c r="E6" s="10" t="s">
        <v>77</v>
      </c>
      <c r="F6" s="7">
        <v>665</v>
      </c>
      <c r="G6">
        <v>143</v>
      </c>
    </row>
    <row r="7" spans="1:7" x14ac:dyDescent="0.25">
      <c r="A7" s="10" t="s">
        <v>202</v>
      </c>
      <c r="B7" s="11">
        <v>46073</v>
      </c>
      <c r="C7" s="10" t="s">
        <v>56</v>
      </c>
      <c r="D7" t="s">
        <v>57</v>
      </c>
      <c r="E7" s="10" t="s">
        <v>58</v>
      </c>
      <c r="F7" s="7">
        <v>500</v>
      </c>
      <c r="G7">
        <v>500</v>
      </c>
    </row>
    <row r="8" spans="1:7" x14ac:dyDescent="0.25">
      <c r="A8" s="10" t="s">
        <v>202</v>
      </c>
      <c r="B8" s="11">
        <v>46076</v>
      </c>
      <c r="C8" s="10" t="s">
        <v>88</v>
      </c>
      <c r="D8" s="10" t="s">
        <v>39</v>
      </c>
      <c r="E8" s="10" t="s">
        <v>40</v>
      </c>
      <c r="F8" s="7">
        <v>1000</v>
      </c>
      <c r="G8">
        <v>1000</v>
      </c>
    </row>
    <row r="9" spans="1:7" x14ac:dyDescent="0.25">
      <c r="A9" s="10" t="s">
        <v>209</v>
      </c>
      <c r="B9" s="10"/>
      <c r="C9" s="10"/>
      <c r="D9" s="10"/>
      <c r="E9" s="10"/>
      <c r="F9" s="12">
        <v>37388</v>
      </c>
      <c r="G9" s="10">
        <v>4120</v>
      </c>
    </row>
    <row r="10" spans="1:7" x14ac:dyDescent="0.25">
      <c r="A10" t="s">
        <v>204</v>
      </c>
      <c r="B10" s="8">
        <v>46082</v>
      </c>
      <c r="C10" t="s">
        <v>83</v>
      </c>
      <c r="D10" t="s">
        <v>21</v>
      </c>
      <c r="E10" t="s">
        <v>22</v>
      </c>
      <c r="F10" s="7">
        <v>160</v>
      </c>
      <c r="G10">
        <v>160</v>
      </c>
    </row>
    <row r="11" spans="1:7" x14ac:dyDescent="0.25">
      <c r="A11" t="s">
        <v>204</v>
      </c>
      <c r="B11" s="8">
        <v>46083</v>
      </c>
      <c r="C11" t="s">
        <v>151</v>
      </c>
      <c r="D11" t="s">
        <v>21</v>
      </c>
      <c r="E11" t="s">
        <v>153</v>
      </c>
      <c r="F11" s="7">
        <v>5</v>
      </c>
      <c r="G11">
        <v>5</v>
      </c>
    </row>
    <row r="12" spans="1:7" x14ac:dyDescent="0.25">
      <c r="A12" t="s">
        <v>204</v>
      </c>
      <c r="B12" s="8">
        <v>46083</v>
      </c>
      <c r="C12" t="s">
        <v>151</v>
      </c>
      <c r="D12" t="s">
        <v>21</v>
      </c>
      <c r="E12" t="s">
        <v>147</v>
      </c>
      <c r="F12" s="7">
        <v>5</v>
      </c>
      <c r="G12">
        <v>5</v>
      </c>
    </row>
    <row r="13" spans="1:7" x14ac:dyDescent="0.25">
      <c r="A13" t="s">
        <v>204</v>
      </c>
      <c r="B13" s="8">
        <v>46085</v>
      </c>
      <c r="C13" t="s">
        <v>78</v>
      </c>
      <c r="D13" t="s">
        <v>39</v>
      </c>
      <c r="E13" t="s">
        <v>40</v>
      </c>
      <c r="F13" s="7">
        <v>18753</v>
      </c>
      <c r="G13">
        <v>18753</v>
      </c>
    </row>
    <row r="14" spans="1:7" x14ac:dyDescent="0.25">
      <c r="A14" t="s">
        <v>204</v>
      </c>
      <c r="B14" s="8">
        <v>46089</v>
      </c>
      <c r="C14" t="s">
        <v>51</v>
      </c>
      <c r="D14" t="s">
        <v>52</v>
      </c>
      <c r="E14" t="s">
        <v>53</v>
      </c>
      <c r="F14" s="7">
        <v>45427</v>
      </c>
      <c r="G14">
        <v>31904</v>
      </c>
    </row>
    <row r="15" spans="1:7" x14ac:dyDescent="0.25">
      <c r="A15" t="s">
        <v>204</v>
      </c>
      <c r="B15" s="8">
        <v>46090</v>
      </c>
      <c r="C15" t="s">
        <v>90</v>
      </c>
      <c r="D15" t="s">
        <v>91</v>
      </c>
      <c r="E15" t="s">
        <v>93</v>
      </c>
      <c r="F15" s="7">
        <v>21603</v>
      </c>
      <c r="G15">
        <v>5637</v>
      </c>
    </row>
    <row r="16" spans="1:7" x14ac:dyDescent="0.25">
      <c r="A16" t="s">
        <v>204</v>
      </c>
      <c r="B16" s="8">
        <v>46091</v>
      </c>
      <c r="C16" t="s">
        <v>61</v>
      </c>
      <c r="D16" t="s">
        <v>52</v>
      </c>
      <c r="E16" t="s">
        <v>53</v>
      </c>
      <c r="F16" s="7">
        <v>8672</v>
      </c>
      <c r="G16">
        <v>8672</v>
      </c>
    </row>
    <row r="17" spans="1:7" x14ac:dyDescent="0.25">
      <c r="A17" t="s">
        <v>204</v>
      </c>
      <c r="B17" s="8">
        <v>46094</v>
      </c>
      <c r="C17" t="s">
        <v>104</v>
      </c>
      <c r="D17" t="s">
        <v>105</v>
      </c>
      <c r="E17" t="s">
        <v>106</v>
      </c>
      <c r="F17" s="7">
        <v>209</v>
      </c>
      <c r="G17">
        <v>209</v>
      </c>
    </row>
    <row r="18" spans="1:7" x14ac:dyDescent="0.25">
      <c r="A18" t="s">
        <v>204</v>
      </c>
      <c r="B18" s="8">
        <v>46094</v>
      </c>
      <c r="C18" t="s">
        <v>108</v>
      </c>
      <c r="D18" t="s">
        <v>21</v>
      </c>
      <c r="E18" t="s">
        <v>112</v>
      </c>
      <c r="F18" s="7">
        <v>286</v>
      </c>
      <c r="G18">
        <v>286</v>
      </c>
    </row>
    <row r="19" spans="1:7" x14ac:dyDescent="0.25">
      <c r="A19" t="s">
        <v>204</v>
      </c>
      <c r="B19" s="8">
        <v>46094</v>
      </c>
      <c r="C19" t="s">
        <v>114</v>
      </c>
      <c r="D19" t="s">
        <v>21</v>
      </c>
      <c r="E19" t="s">
        <v>67</v>
      </c>
      <c r="F19" s="7">
        <v>328</v>
      </c>
      <c r="G19">
        <v>328</v>
      </c>
    </row>
    <row r="20" spans="1:7" x14ac:dyDescent="0.25">
      <c r="A20" t="s">
        <v>204</v>
      </c>
      <c r="B20" s="8">
        <v>46094</v>
      </c>
      <c r="C20" t="s">
        <v>120</v>
      </c>
      <c r="D20" t="s">
        <v>121</v>
      </c>
      <c r="E20" t="s">
        <v>74</v>
      </c>
      <c r="F20" s="7">
        <v>293</v>
      </c>
      <c r="G20">
        <v>293</v>
      </c>
    </row>
    <row r="21" spans="1:7" x14ac:dyDescent="0.25">
      <c r="A21" t="s">
        <v>204</v>
      </c>
      <c r="B21" s="8">
        <v>46094</v>
      </c>
      <c r="C21" t="s">
        <v>122</v>
      </c>
      <c r="D21" t="s">
        <v>46</v>
      </c>
      <c r="E21" t="s">
        <v>131</v>
      </c>
      <c r="F21" s="7">
        <v>323</v>
      </c>
      <c r="G21">
        <v>323</v>
      </c>
    </row>
    <row r="22" spans="1:7" x14ac:dyDescent="0.25">
      <c r="A22" t="s">
        <v>204</v>
      </c>
      <c r="B22" s="8">
        <v>46094</v>
      </c>
      <c r="C22" t="s">
        <v>122</v>
      </c>
      <c r="D22" t="s">
        <v>46</v>
      </c>
      <c r="E22" t="s">
        <v>130</v>
      </c>
      <c r="F22" s="7">
        <v>457</v>
      </c>
      <c r="G22">
        <v>457</v>
      </c>
    </row>
    <row r="23" spans="1:7" x14ac:dyDescent="0.25">
      <c r="A23" t="s">
        <v>204</v>
      </c>
      <c r="B23" s="8">
        <v>46094</v>
      </c>
      <c r="C23" t="s">
        <v>122</v>
      </c>
      <c r="D23" t="s">
        <v>46</v>
      </c>
      <c r="E23" t="s">
        <v>93</v>
      </c>
      <c r="F23" s="7">
        <v>482</v>
      </c>
      <c r="G23">
        <v>226</v>
      </c>
    </row>
    <row r="24" spans="1:7" x14ac:dyDescent="0.25">
      <c r="A24" t="s">
        <v>204</v>
      </c>
      <c r="B24" s="8">
        <v>46094</v>
      </c>
      <c r="C24" t="s">
        <v>122</v>
      </c>
      <c r="D24" t="s">
        <v>46</v>
      </c>
      <c r="E24" t="s">
        <v>124</v>
      </c>
      <c r="F24" s="7">
        <v>202</v>
      </c>
      <c r="G24">
        <v>202</v>
      </c>
    </row>
    <row r="25" spans="1:7" x14ac:dyDescent="0.25">
      <c r="A25" t="s">
        <v>204</v>
      </c>
      <c r="B25" s="8">
        <v>46094</v>
      </c>
      <c r="C25" t="s">
        <v>122</v>
      </c>
      <c r="D25" t="s">
        <v>46</v>
      </c>
      <c r="E25" t="s">
        <v>67</v>
      </c>
      <c r="F25" s="7">
        <v>288</v>
      </c>
      <c r="G25">
        <v>288</v>
      </c>
    </row>
    <row r="26" spans="1:7" x14ac:dyDescent="0.25">
      <c r="A26" t="s">
        <v>204</v>
      </c>
      <c r="B26" s="8">
        <v>46094</v>
      </c>
      <c r="C26" t="s">
        <v>122</v>
      </c>
      <c r="D26" t="s">
        <v>46</v>
      </c>
      <c r="E26" t="s">
        <v>128</v>
      </c>
      <c r="F26" s="7">
        <v>193</v>
      </c>
      <c r="G26">
        <v>193</v>
      </c>
    </row>
    <row r="27" spans="1:7" x14ac:dyDescent="0.25">
      <c r="A27" t="s">
        <v>204</v>
      </c>
      <c r="B27" s="8">
        <v>46094</v>
      </c>
      <c r="C27" t="s">
        <v>122</v>
      </c>
      <c r="D27" t="s">
        <v>46</v>
      </c>
      <c r="E27" t="s">
        <v>95</v>
      </c>
      <c r="F27" s="7">
        <v>489</v>
      </c>
      <c r="G27">
        <v>489</v>
      </c>
    </row>
    <row r="28" spans="1:7" x14ac:dyDescent="0.25">
      <c r="A28" t="s">
        <v>204</v>
      </c>
      <c r="B28" s="8">
        <v>46094</v>
      </c>
      <c r="C28" t="s">
        <v>122</v>
      </c>
      <c r="D28" t="s">
        <v>46</v>
      </c>
      <c r="E28" t="s">
        <v>47</v>
      </c>
      <c r="F28" s="7">
        <v>530</v>
      </c>
      <c r="G28">
        <v>530</v>
      </c>
    </row>
    <row r="29" spans="1:7" x14ac:dyDescent="0.25">
      <c r="A29" t="s">
        <v>204</v>
      </c>
      <c r="B29" s="8">
        <v>46094</v>
      </c>
      <c r="C29" t="s">
        <v>133</v>
      </c>
      <c r="D29" t="s">
        <v>134</v>
      </c>
      <c r="E29" t="s">
        <v>74</v>
      </c>
      <c r="F29" s="7">
        <v>2176</v>
      </c>
      <c r="G29">
        <v>2176</v>
      </c>
    </row>
    <row r="30" spans="1:7" x14ac:dyDescent="0.25">
      <c r="A30" t="s">
        <v>204</v>
      </c>
      <c r="B30" s="8">
        <v>46094</v>
      </c>
      <c r="C30" t="s">
        <v>144</v>
      </c>
      <c r="D30" t="s">
        <v>85</v>
      </c>
      <c r="E30" t="s">
        <v>74</v>
      </c>
      <c r="F30" s="7">
        <v>2123</v>
      </c>
      <c r="G30">
        <v>2123</v>
      </c>
    </row>
    <row r="31" spans="1:7" x14ac:dyDescent="0.25">
      <c r="A31" t="s">
        <v>204</v>
      </c>
      <c r="B31" s="8">
        <v>46101</v>
      </c>
      <c r="C31" t="s">
        <v>171</v>
      </c>
      <c r="D31" t="s">
        <v>46</v>
      </c>
      <c r="E31" t="s">
        <v>74</v>
      </c>
      <c r="F31" s="7">
        <v>5</v>
      </c>
      <c r="G31">
        <v>5</v>
      </c>
    </row>
    <row r="32" spans="1:7" x14ac:dyDescent="0.25">
      <c r="A32" t="s">
        <v>204</v>
      </c>
      <c r="B32" s="8">
        <v>46101</v>
      </c>
      <c r="C32" t="s">
        <v>171</v>
      </c>
      <c r="D32" t="s">
        <v>46</v>
      </c>
      <c r="E32" t="s">
        <v>172</v>
      </c>
      <c r="F32" s="7">
        <v>5</v>
      </c>
      <c r="G32">
        <v>5</v>
      </c>
    </row>
    <row r="33" spans="1:7" x14ac:dyDescent="0.25">
      <c r="A33" t="s">
        <v>204</v>
      </c>
      <c r="B33" s="8">
        <v>46101</v>
      </c>
      <c r="C33" t="s">
        <v>171</v>
      </c>
      <c r="D33" t="s">
        <v>46</v>
      </c>
      <c r="E33" t="s">
        <v>47</v>
      </c>
      <c r="F33" s="7">
        <v>5</v>
      </c>
      <c r="G33">
        <v>5</v>
      </c>
    </row>
    <row r="34" spans="1:7" x14ac:dyDescent="0.25">
      <c r="A34" t="s">
        <v>204</v>
      </c>
      <c r="B34" s="8">
        <v>46101</v>
      </c>
      <c r="C34" t="s">
        <v>173</v>
      </c>
      <c r="D34" t="s">
        <v>174</v>
      </c>
      <c r="E34" t="s">
        <v>110</v>
      </c>
      <c r="F34" s="7">
        <v>22</v>
      </c>
      <c r="G34">
        <v>22</v>
      </c>
    </row>
    <row r="35" spans="1:7" x14ac:dyDescent="0.25">
      <c r="A35" t="s">
        <v>204</v>
      </c>
      <c r="B35" s="8">
        <v>46101</v>
      </c>
      <c r="C35" t="s">
        <v>175</v>
      </c>
      <c r="D35" t="s">
        <v>85</v>
      </c>
      <c r="E35" t="s">
        <v>44</v>
      </c>
      <c r="F35" s="7">
        <v>150</v>
      </c>
      <c r="G35">
        <v>150</v>
      </c>
    </row>
    <row r="36" spans="1:7" x14ac:dyDescent="0.25">
      <c r="A36" t="s">
        <v>204</v>
      </c>
      <c r="B36" s="8">
        <v>46101</v>
      </c>
      <c r="C36" t="s">
        <v>179</v>
      </c>
      <c r="D36" t="s">
        <v>85</v>
      </c>
      <c r="E36" t="s">
        <v>44</v>
      </c>
      <c r="F36" s="7">
        <v>125</v>
      </c>
      <c r="G36">
        <v>125</v>
      </c>
    </row>
    <row r="37" spans="1:7" x14ac:dyDescent="0.25">
      <c r="A37" t="s">
        <v>204</v>
      </c>
      <c r="B37" s="8">
        <v>46101</v>
      </c>
      <c r="C37" t="s">
        <v>180</v>
      </c>
      <c r="D37" t="s">
        <v>27</v>
      </c>
      <c r="E37" t="s">
        <v>181</v>
      </c>
      <c r="F37" s="7">
        <v>10</v>
      </c>
      <c r="G37">
        <v>10</v>
      </c>
    </row>
    <row r="38" spans="1:7" x14ac:dyDescent="0.25">
      <c r="A38" t="s">
        <v>204</v>
      </c>
      <c r="B38" s="8">
        <v>46101</v>
      </c>
      <c r="C38" t="s">
        <v>185</v>
      </c>
      <c r="D38" t="s">
        <v>85</v>
      </c>
      <c r="E38" t="s">
        <v>65</v>
      </c>
      <c r="F38" s="7">
        <v>98</v>
      </c>
      <c r="G38">
        <v>98</v>
      </c>
    </row>
    <row r="39" spans="1:7" x14ac:dyDescent="0.25">
      <c r="A39" t="s">
        <v>204</v>
      </c>
      <c r="B39" s="8">
        <v>46101</v>
      </c>
      <c r="C39" t="s">
        <v>185</v>
      </c>
      <c r="D39" t="s">
        <v>85</v>
      </c>
      <c r="E39" t="s">
        <v>44</v>
      </c>
      <c r="F39" s="7">
        <v>416</v>
      </c>
      <c r="G39">
        <v>416</v>
      </c>
    </row>
    <row r="40" spans="1:7" x14ac:dyDescent="0.25">
      <c r="A40" t="s">
        <v>204</v>
      </c>
      <c r="B40" s="8">
        <v>46104</v>
      </c>
      <c r="C40" t="s">
        <v>135</v>
      </c>
      <c r="D40" t="s">
        <v>136</v>
      </c>
      <c r="E40" t="s">
        <v>74</v>
      </c>
      <c r="F40" s="7">
        <v>302</v>
      </c>
      <c r="G40">
        <v>302</v>
      </c>
    </row>
    <row r="41" spans="1:7" x14ac:dyDescent="0.25">
      <c r="A41" t="s">
        <v>204</v>
      </c>
      <c r="B41" s="8">
        <v>46104</v>
      </c>
      <c r="C41" t="s">
        <v>142</v>
      </c>
      <c r="D41" t="s">
        <v>39</v>
      </c>
      <c r="E41" t="s">
        <v>40</v>
      </c>
      <c r="F41" s="7">
        <v>9717</v>
      </c>
      <c r="G41">
        <v>9717</v>
      </c>
    </row>
    <row r="42" spans="1:7" x14ac:dyDescent="0.25">
      <c r="A42" t="s">
        <v>204</v>
      </c>
      <c r="B42" s="8">
        <v>46111</v>
      </c>
      <c r="C42" t="s">
        <v>176</v>
      </c>
      <c r="D42" t="s">
        <v>39</v>
      </c>
      <c r="E42" t="s">
        <v>40</v>
      </c>
      <c r="F42" s="7">
        <v>1110</v>
      </c>
      <c r="G42">
        <v>1110</v>
      </c>
    </row>
    <row r="43" spans="1:7" x14ac:dyDescent="0.25">
      <c r="A43" t="s">
        <v>204</v>
      </c>
      <c r="B43" s="8">
        <v>46114</v>
      </c>
      <c r="C43" t="s">
        <v>140</v>
      </c>
      <c r="D43" t="s">
        <v>52</v>
      </c>
      <c r="E43" t="s">
        <v>53</v>
      </c>
      <c r="F43" s="7">
        <v>18557</v>
      </c>
      <c r="G43">
        <v>18557</v>
      </c>
    </row>
    <row r="44" spans="1:7" x14ac:dyDescent="0.25">
      <c r="A44" t="s">
        <v>204</v>
      </c>
      <c r="B44" t="s">
        <v>204</v>
      </c>
      <c r="C44" t="s">
        <v>183</v>
      </c>
      <c r="D44" t="s">
        <v>15</v>
      </c>
      <c r="E44" t="s">
        <v>16</v>
      </c>
      <c r="F44" s="7">
        <v>60</v>
      </c>
      <c r="G44">
        <v>60</v>
      </c>
    </row>
    <row r="45" spans="1:7" x14ac:dyDescent="0.25">
      <c r="A45" t="s">
        <v>204</v>
      </c>
      <c r="B45" t="s">
        <v>204</v>
      </c>
      <c r="C45" t="s">
        <v>188</v>
      </c>
      <c r="D45" t="s">
        <v>21</v>
      </c>
      <c r="E45" t="s">
        <v>65</v>
      </c>
      <c r="F45" s="7">
        <v>89</v>
      </c>
      <c r="G45">
        <v>89</v>
      </c>
    </row>
    <row r="46" spans="1:7" x14ac:dyDescent="0.25">
      <c r="A46" t="s">
        <v>204</v>
      </c>
      <c r="B46" t="s">
        <v>204</v>
      </c>
      <c r="C46" t="s">
        <v>188</v>
      </c>
      <c r="D46" t="s">
        <v>21</v>
      </c>
      <c r="E46" t="s">
        <v>67</v>
      </c>
      <c r="F46" s="7">
        <v>2</v>
      </c>
      <c r="G46">
        <v>2</v>
      </c>
    </row>
    <row r="47" spans="1:7" x14ac:dyDescent="0.25">
      <c r="A47" t="s">
        <v>204</v>
      </c>
      <c r="B47" t="s">
        <v>204</v>
      </c>
      <c r="C47" t="s">
        <v>192</v>
      </c>
      <c r="D47" t="s">
        <v>57</v>
      </c>
      <c r="E47" t="s">
        <v>193</v>
      </c>
      <c r="F47" s="7">
        <v>40</v>
      </c>
      <c r="G47">
        <v>40</v>
      </c>
    </row>
    <row r="48" spans="1:7" x14ac:dyDescent="0.25">
      <c r="A48" t="s">
        <v>204</v>
      </c>
      <c r="B48" t="s">
        <v>204</v>
      </c>
      <c r="C48" t="s">
        <v>195</v>
      </c>
      <c r="D48" t="s">
        <v>85</v>
      </c>
      <c r="E48" t="s">
        <v>65</v>
      </c>
      <c r="F48" s="7">
        <v>36</v>
      </c>
      <c r="G48">
        <v>36</v>
      </c>
    </row>
    <row r="49" spans="1:7" x14ac:dyDescent="0.25">
      <c r="A49" t="s">
        <v>204</v>
      </c>
      <c r="B49" t="s">
        <v>204</v>
      </c>
      <c r="C49" t="s">
        <v>195</v>
      </c>
      <c r="D49" t="s">
        <v>85</v>
      </c>
      <c r="E49" t="s">
        <v>44</v>
      </c>
      <c r="F49" s="7">
        <v>85</v>
      </c>
      <c r="G49">
        <v>85</v>
      </c>
    </row>
    <row r="50" spans="1:7" x14ac:dyDescent="0.25">
      <c r="A50" t="s">
        <v>204</v>
      </c>
      <c r="B50" t="s">
        <v>204</v>
      </c>
      <c r="C50" t="s">
        <v>196</v>
      </c>
      <c r="D50" t="s">
        <v>39</v>
      </c>
      <c r="E50" t="s">
        <v>40</v>
      </c>
      <c r="F50" s="7">
        <v>1000</v>
      </c>
      <c r="G50">
        <v>1000</v>
      </c>
    </row>
    <row r="51" spans="1:7" x14ac:dyDescent="0.25">
      <c r="A51" t="s">
        <v>204</v>
      </c>
      <c r="B51" t="s">
        <v>204</v>
      </c>
      <c r="C51" t="s">
        <v>177</v>
      </c>
      <c r="D51" t="s">
        <v>46</v>
      </c>
      <c r="E51" t="s">
        <v>93</v>
      </c>
      <c r="F51" s="7">
        <v>5</v>
      </c>
      <c r="G51">
        <v>5</v>
      </c>
    </row>
    <row r="52" spans="1:7" x14ac:dyDescent="0.25">
      <c r="A52" t="s">
        <v>208</v>
      </c>
      <c r="F52" s="7">
        <v>134843</v>
      </c>
      <c r="G52">
        <v>105098</v>
      </c>
    </row>
    <row r="53" spans="1:7" x14ac:dyDescent="0.25">
      <c r="A53" t="s">
        <v>205</v>
      </c>
      <c r="F53" s="7">
        <v>172231</v>
      </c>
      <c r="G53">
        <v>109218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41"/>
  <sheetViews>
    <sheetView zoomScale="101" zoomScaleNormal="100" workbookViewId="0">
      <selection activeCell="C162" sqref="C162"/>
    </sheetView>
  </sheetViews>
  <sheetFormatPr defaultRowHeight="15" x14ac:dyDescent="0.25"/>
  <cols>
    <col min="1" max="1" width="17" style="1" customWidth="1"/>
    <col min="2" max="2" width="18.85546875" style="2" customWidth="1"/>
    <col min="3" max="3" width="18" style="2"/>
    <col min="4" max="4" width="15" style="2"/>
    <col min="5" max="5" width="9" style="2"/>
    <col min="6" max="6" width="8" style="2"/>
    <col min="7" max="8" width="12" style="3"/>
    <col min="9" max="9" width="21" style="3"/>
    <col min="10" max="10" width="48.85546875" style="3" customWidth="1"/>
    <col min="11" max="11" width="19.28515625" style="3" customWidth="1"/>
    <col min="12" max="12" width="20.5703125" style="3" customWidth="1"/>
    <col min="13" max="13" width="19" style="4"/>
    <col min="14" max="14" width="18" style="4"/>
    <col min="15" max="15" width="22" style="2"/>
    <col min="16" max="16" width="13" style="2"/>
  </cols>
  <sheetData>
    <row r="1" spans="1:1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s="5" t="s">
        <v>198</v>
      </c>
      <c r="K1" s="5" t="s">
        <v>199</v>
      </c>
      <c r="L1" s="5" t="s">
        <v>200</v>
      </c>
      <c r="M1" t="s">
        <v>9</v>
      </c>
      <c r="N1" t="s">
        <v>10</v>
      </c>
      <c r="O1" t="s">
        <v>11</v>
      </c>
      <c r="P1" t="s">
        <v>12</v>
      </c>
    </row>
    <row r="2" spans="1:16" hidden="1" x14ac:dyDescent="0.25">
      <c r="A2" s="1">
        <v>45860.352534722202</v>
      </c>
      <c r="B2" s="2" t="s">
        <v>13</v>
      </c>
      <c r="C2" s="2" t="s">
        <v>14</v>
      </c>
      <c r="D2" s="2" t="s">
        <v>15</v>
      </c>
      <c r="E2" s="2" t="s">
        <v>16</v>
      </c>
      <c r="F2" s="2" t="s">
        <v>17</v>
      </c>
      <c r="G2" s="3">
        <v>26</v>
      </c>
      <c r="H2" s="3">
        <v>0</v>
      </c>
      <c r="I2" s="6">
        <v>26</v>
      </c>
      <c r="L2" s="3" t="s">
        <v>201</v>
      </c>
      <c r="M2" s="4">
        <v>45852</v>
      </c>
      <c r="N2" s="4">
        <v>45856</v>
      </c>
      <c r="O2" s="2" t="s">
        <v>18</v>
      </c>
      <c r="P2" s="2" t="s">
        <v>19</v>
      </c>
    </row>
    <row r="3" spans="1:16" hidden="1" x14ac:dyDescent="0.25">
      <c r="A3" s="1">
        <v>45965.076215277797</v>
      </c>
      <c r="B3" s="2" t="s">
        <v>13</v>
      </c>
      <c r="C3" s="2" t="s">
        <v>20</v>
      </c>
      <c r="D3" s="2" t="s">
        <v>21</v>
      </c>
      <c r="E3" s="2" t="s">
        <v>22</v>
      </c>
      <c r="F3" s="2" t="s">
        <v>23</v>
      </c>
      <c r="G3" s="3">
        <v>2467</v>
      </c>
      <c r="H3" s="3">
        <v>2420</v>
      </c>
      <c r="I3" s="6">
        <v>47</v>
      </c>
      <c r="L3" s="3" t="s">
        <v>201</v>
      </c>
      <c r="M3" s="4">
        <v>45991</v>
      </c>
      <c r="N3" s="4">
        <v>46015</v>
      </c>
      <c r="O3" s="2" t="s">
        <v>24</v>
      </c>
      <c r="P3" s="2" t="s">
        <v>25</v>
      </c>
    </row>
    <row r="4" spans="1:16" hidden="1" x14ac:dyDescent="0.25">
      <c r="A4" s="1">
        <v>45967.081678240698</v>
      </c>
      <c r="B4" s="2" t="s">
        <v>13</v>
      </c>
      <c r="C4" s="2" t="s">
        <v>26</v>
      </c>
      <c r="D4" s="2" t="s">
        <v>27</v>
      </c>
      <c r="E4" s="2" t="s">
        <v>28</v>
      </c>
      <c r="F4" s="2" t="s">
        <v>29</v>
      </c>
      <c r="G4" s="3">
        <v>140</v>
      </c>
      <c r="H4" s="3">
        <v>120</v>
      </c>
      <c r="I4" s="6">
        <v>20</v>
      </c>
      <c r="L4" s="3" t="s">
        <v>201</v>
      </c>
      <c r="M4" s="4">
        <v>45993</v>
      </c>
      <c r="N4" s="4">
        <v>45996</v>
      </c>
      <c r="O4" s="2" t="s">
        <v>30</v>
      </c>
      <c r="P4" s="2" t="s">
        <v>25</v>
      </c>
    </row>
    <row r="5" spans="1:16" hidden="1" x14ac:dyDescent="0.25">
      <c r="A5" s="1">
        <v>45967.082152777803</v>
      </c>
      <c r="B5" s="2" t="s">
        <v>13</v>
      </c>
      <c r="C5" s="2" t="s">
        <v>31</v>
      </c>
      <c r="D5" s="2" t="s">
        <v>21</v>
      </c>
      <c r="E5" s="2" t="s">
        <v>28</v>
      </c>
      <c r="F5" s="2" t="s">
        <v>23</v>
      </c>
      <c r="G5" s="3">
        <v>494</v>
      </c>
      <c r="H5" s="3">
        <v>480</v>
      </c>
      <c r="I5" s="6">
        <v>12.03</v>
      </c>
      <c r="L5" s="3" t="s">
        <v>201</v>
      </c>
      <c r="M5" s="4">
        <v>45993</v>
      </c>
      <c r="N5" s="4">
        <v>46022</v>
      </c>
      <c r="O5" s="2" t="s">
        <v>32</v>
      </c>
      <c r="P5" s="2" t="s">
        <v>25</v>
      </c>
    </row>
    <row r="6" spans="1:16" hidden="1" x14ac:dyDescent="0.25">
      <c r="A6" s="1">
        <v>45967.597187500003</v>
      </c>
      <c r="B6" s="2" t="s">
        <v>13</v>
      </c>
      <c r="C6" s="2" t="s">
        <v>33</v>
      </c>
      <c r="D6" s="2" t="s">
        <v>21</v>
      </c>
      <c r="E6" s="2" t="s">
        <v>34</v>
      </c>
      <c r="F6" s="2" t="s">
        <v>23</v>
      </c>
      <c r="G6" s="3">
        <v>1213</v>
      </c>
      <c r="H6" s="3">
        <v>1173</v>
      </c>
      <c r="I6" s="6">
        <v>40</v>
      </c>
      <c r="L6" s="3" t="s">
        <v>201</v>
      </c>
      <c r="M6" s="4">
        <v>45993</v>
      </c>
      <c r="N6" s="4">
        <v>46022</v>
      </c>
      <c r="O6" s="2" t="s">
        <v>35</v>
      </c>
      <c r="P6" s="2" t="s">
        <v>25</v>
      </c>
    </row>
    <row r="7" spans="1:16" hidden="1" x14ac:dyDescent="0.25">
      <c r="A7" s="1">
        <v>45983.538865740702</v>
      </c>
      <c r="B7" s="2" t="s">
        <v>13</v>
      </c>
      <c r="C7" s="2" t="s">
        <v>33</v>
      </c>
      <c r="D7" s="2" t="s">
        <v>21</v>
      </c>
      <c r="E7" s="2" t="s">
        <v>34</v>
      </c>
      <c r="F7" s="2" t="s">
        <v>23</v>
      </c>
      <c r="G7" s="3">
        <v>210</v>
      </c>
      <c r="H7" s="3">
        <v>0</v>
      </c>
      <c r="I7" s="3">
        <v>208.85</v>
      </c>
      <c r="L7" s="3" t="s">
        <v>201</v>
      </c>
      <c r="M7" s="4">
        <v>45993</v>
      </c>
      <c r="N7" s="4">
        <v>46022</v>
      </c>
      <c r="O7" s="2" t="s">
        <v>36</v>
      </c>
      <c r="P7" s="2" t="s">
        <v>37</v>
      </c>
    </row>
    <row r="8" spans="1:16" hidden="1" x14ac:dyDescent="0.25">
      <c r="A8" s="1">
        <v>46013.844282407401</v>
      </c>
      <c r="B8" s="2" t="s">
        <v>13</v>
      </c>
      <c r="C8" s="2" t="s">
        <v>38</v>
      </c>
      <c r="D8" s="2" t="s">
        <v>39</v>
      </c>
      <c r="E8" s="2" t="s">
        <v>40</v>
      </c>
      <c r="F8" s="2" t="s">
        <v>41</v>
      </c>
      <c r="G8" s="3">
        <v>35037</v>
      </c>
      <c r="H8" s="3">
        <v>30808</v>
      </c>
      <c r="I8" s="3">
        <v>4229</v>
      </c>
      <c r="J8" s="3">
        <v>1938</v>
      </c>
      <c r="K8" s="3">
        <f>AxTable1[[#This Row],[Deliver remainder]]-AxTable1[[#This Row],[TSI/CSATX260214NC-CAM-ETA 02/03/2026]]</f>
        <v>2291</v>
      </c>
      <c r="L8" s="3" t="s">
        <v>202</v>
      </c>
      <c r="M8" s="4">
        <v>46069</v>
      </c>
      <c r="N8" s="4">
        <v>46092</v>
      </c>
      <c r="P8" s="2" t="s">
        <v>25</v>
      </c>
    </row>
    <row r="9" spans="1:16" hidden="1" x14ac:dyDescent="0.25">
      <c r="A9" s="1">
        <v>46013.845671296302</v>
      </c>
      <c r="B9" s="2" t="s">
        <v>13</v>
      </c>
      <c r="C9" s="2" t="s">
        <v>38</v>
      </c>
      <c r="D9" s="2" t="s">
        <v>39</v>
      </c>
      <c r="E9" s="2" t="s">
        <v>40</v>
      </c>
      <c r="F9" s="2" t="s">
        <v>41</v>
      </c>
      <c r="G9" s="3">
        <v>1</v>
      </c>
      <c r="H9" s="3">
        <v>0</v>
      </c>
      <c r="I9" s="3">
        <v>1</v>
      </c>
      <c r="K9" s="3">
        <f>AxTable1[[#This Row],[Deliver remainder]]-AxTable1[[#This Row],[TSI/CSATX260214NC-CAM-ETA 02/03/2026]]</f>
        <v>1</v>
      </c>
      <c r="L9" s="3" t="s">
        <v>202</v>
      </c>
      <c r="M9" s="4">
        <v>46069</v>
      </c>
      <c r="N9" s="4">
        <v>46092</v>
      </c>
      <c r="P9" s="2" t="s">
        <v>42</v>
      </c>
    </row>
    <row r="10" spans="1:16" hidden="1" x14ac:dyDescent="0.25">
      <c r="A10" s="1">
        <v>46014.334826388898</v>
      </c>
      <c r="B10" s="2" t="s">
        <v>13</v>
      </c>
      <c r="C10" s="2" t="s">
        <v>43</v>
      </c>
      <c r="D10" s="2" t="s">
        <v>27</v>
      </c>
      <c r="E10" s="2" t="s">
        <v>44</v>
      </c>
      <c r="F10" s="2" t="s">
        <v>29</v>
      </c>
      <c r="G10" s="3">
        <v>20</v>
      </c>
      <c r="H10" s="3">
        <v>3</v>
      </c>
      <c r="I10" s="3">
        <v>17</v>
      </c>
      <c r="K10" s="3">
        <v>0</v>
      </c>
      <c r="L10" s="3" t="s">
        <v>201</v>
      </c>
      <c r="M10" s="4">
        <v>46039</v>
      </c>
      <c r="N10" s="4">
        <v>46092</v>
      </c>
      <c r="P10" s="2" t="s">
        <v>42</v>
      </c>
    </row>
    <row r="11" spans="1:16" hidden="1" x14ac:dyDescent="0.25">
      <c r="A11" s="1">
        <v>46034.637199074103</v>
      </c>
      <c r="B11" s="2" t="s">
        <v>13</v>
      </c>
      <c r="C11" s="2" t="s">
        <v>45</v>
      </c>
      <c r="D11" s="2" t="s">
        <v>46</v>
      </c>
      <c r="E11" s="2" t="s">
        <v>47</v>
      </c>
      <c r="F11" s="2" t="s">
        <v>17</v>
      </c>
      <c r="G11" s="3">
        <v>4182</v>
      </c>
      <c r="H11" s="3">
        <v>4065</v>
      </c>
      <c r="I11" s="3">
        <v>117</v>
      </c>
      <c r="J11" s="3">
        <v>117</v>
      </c>
      <c r="K11" s="3">
        <f>AxTable1[[#This Row],[Deliver remainder]]-AxTable1[[#This Row],[TSI/CSATX260214NC-CAM-ETA 02/03/2026]]</f>
        <v>0</v>
      </c>
      <c r="L11" s="3" t="s">
        <v>201</v>
      </c>
      <c r="M11" s="4">
        <v>46059</v>
      </c>
      <c r="N11" s="4">
        <v>46085</v>
      </c>
      <c r="O11" s="2" t="s">
        <v>48</v>
      </c>
      <c r="P11" s="2" t="s">
        <v>25</v>
      </c>
    </row>
    <row r="12" spans="1:16" hidden="1" x14ac:dyDescent="0.25">
      <c r="A12" s="1">
        <v>46034.638749999998</v>
      </c>
      <c r="B12" s="2" t="s">
        <v>13</v>
      </c>
      <c r="C12" s="2" t="s">
        <v>45</v>
      </c>
      <c r="D12" s="2" t="s">
        <v>46</v>
      </c>
      <c r="E12" s="2" t="s">
        <v>47</v>
      </c>
      <c r="F12" s="2" t="s">
        <v>17</v>
      </c>
      <c r="G12" s="3">
        <v>32</v>
      </c>
      <c r="H12" s="3">
        <v>0</v>
      </c>
      <c r="I12" s="3">
        <v>32</v>
      </c>
      <c r="J12" s="3">
        <v>32</v>
      </c>
      <c r="K12" s="3">
        <f>AxTable1[[#This Row],[Deliver remainder]]-AxTable1[[#This Row],[TSI/CSATX260214NC-CAM-ETA 02/03/2026]]</f>
        <v>0</v>
      </c>
      <c r="L12" s="3" t="s">
        <v>201</v>
      </c>
      <c r="M12" s="4">
        <v>46059</v>
      </c>
      <c r="N12" s="4">
        <v>46085</v>
      </c>
      <c r="O12" s="2" t="s">
        <v>49</v>
      </c>
      <c r="P12" s="2" t="s">
        <v>42</v>
      </c>
    </row>
    <row r="13" spans="1:16" hidden="1" x14ac:dyDescent="0.25">
      <c r="A13" s="1">
        <v>46041.445949074099</v>
      </c>
      <c r="B13" s="2" t="s">
        <v>13</v>
      </c>
      <c r="C13" s="2" t="s">
        <v>50</v>
      </c>
      <c r="D13" s="2" t="s">
        <v>27</v>
      </c>
      <c r="E13" s="2" t="s">
        <v>28</v>
      </c>
      <c r="F13" s="2" t="s">
        <v>29</v>
      </c>
      <c r="G13" s="3">
        <v>185</v>
      </c>
      <c r="H13" s="3">
        <v>18</v>
      </c>
      <c r="I13" s="3">
        <v>167</v>
      </c>
      <c r="K13" s="3">
        <v>0</v>
      </c>
      <c r="L13" s="3" t="s">
        <v>201</v>
      </c>
      <c r="M13" s="4">
        <v>46067</v>
      </c>
      <c r="N13" s="4">
        <v>46057</v>
      </c>
      <c r="P13" s="2" t="s">
        <v>42</v>
      </c>
    </row>
    <row r="14" spans="1:16" hidden="1" x14ac:dyDescent="0.25">
      <c r="A14" s="1">
        <v>46044.404050925899</v>
      </c>
      <c r="B14" s="2" t="s">
        <v>13</v>
      </c>
      <c r="C14" s="2" t="s">
        <v>51</v>
      </c>
      <c r="D14" s="2" t="s">
        <v>52</v>
      </c>
      <c r="E14" s="2" t="s">
        <v>53</v>
      </c>
      <c r="F14" s="2" t="s">
        <v>23</v>
      </c>
      <c r="G14" s="3">
        <v>45414</v>
      </c>
      <c r="H14" s="3">
        <v>6209</v>
      </c>
      <c r="I14" s="3">
        <v>39205</v>
      </c>
      <c r="J14" s="3">
        <v>7314</v>
      </c>
      <c r="K14" s="3">
        <f>AxTable1[[#This Row],[Deliver remainder]]-AxTable1[[#This Row],[TSI/CSATX260214NC-CAM-ETA 02/03/2026]]</f>
        <v>31891</v>
      </c>
      <c r="M14" s="4">
        <v>46089</v>
      </c>
      <c r="N14" s="4">
        <v>46099</v>
      </c>
      <c r="O14" s="2" t="s">
        <v>54</v>
      </c>
      <c r="P14" s="2" t="s">
        <v>25</v>
      </c>
    </row>
    <row r="15" spans="1:16" hidden="1" x14ac:dyDescent="0.25">
      <c r="A15" s="1">
        <v>46044.407893518503</v>
      </c>
      <c r="B15" s="2" t="s">
        <v>13</v>
      </c>
      <c r="C15" s="2" t="s">
        <v>51</v>
      </c>
      <c r="D15" s="2" t="s">
        <v>52</v>
      </c>
      <c r="E15" s="2" t="s">
        <v>53</v>
      </c>
      <c r="F15" s="2" t="s">
        <v>23</v>
      </c>
      <c r="G15" s="3">
        <v>13</v>
      </c>
      <c r="H15" s="3">
        <v>0</v>
      </c>
      <c r="I15" s="3">
        <v>13</v>
      </c>
      <c r="K15" s="3">
        <f>AxTable1[[#This Row],[Deliver remainder]]-AxTable1[[#This Row],[TSI/CSATX260214NC-CAM-ETA 02/03/2026]]</f>
        <v>13</v>
      </c>
      <c r="M15" s="4">
        <v>46089</v>
      </c>
      <c r="N15" s="4">
        <v>46099</v>
      </c>
      <c r="O15" s="2" t="s">
        <v>55</v>
      </c>
      <c r="P15" s="2" t="s">
        <v>42</v>
      </c>
    </row>
    <row r="16" spans="1:16" hidden="1" x14ac:dyDescent="0.25">
      <c r="A16" s="1">
        <v>46045.333113425899</v>
      </c>
      <c r="B16" s="2" t="s">
        <v>13</v>
      </c>
      <c r="C16" s="2" t="s">
        <v>56</v>
      </c>
      <c r="D16" s="2" t="s">
        <v>57</v>
      </c>
      <c r="E16" s="2" t="s">
        <v>58</v>
      </c>
      <c r="F16" s="2" t="s">
        <v>59</v>
      </c>
      <c r="G16" s="3">
        <v>498</v>
      </c>
      <c r="H16" s="3">
        <v>0</v>
      </c>
      <c r="I16" s="3">
        <v>498</v>
      </c>
      <c r="K16" s="3">
        <f>AxTable1[[#This Row],[Deliver remainder]]-AxTable1[[#This Row],[TSI/CSATX260214NC-CAM-ETA 02/03/2026]]</f>
        <v>498</v>
      </c>
      <c r="L16" s="3" t="s">
        <v>202</v>
      </c>
      <c r="M16" s="4">
        <v>46073</v>
      </c>
      <c r="N16" s="4">
        <v>46085</v>
      </c>
      <c r="P16" s="2" t="s">
        <v>25</v>
      </c>
    </row>
    <row r="17" spans="1:16" hidden="1" x14ac:dyDescent="0.25">
      <c r="A17" s="1">
        <v>46045.347210648099</v>
      </c>
      <c r="B17" s="2" t="s">
        <v>13</v>
      </c>
      <c r="C17" s="2" t="s">
        <v>56</v>
      </c>
      <c r="D17" s="2" t="s">
        <v>57</v>
      </c>
      <c r="E17" s="2" t="s">
        <v>58</v>
      </c>
      <c r="F17" s="2" t="s">
        <v>59</v>
      </c>
      <c r="G17" s="3">
        <v>2</v>
      </c>
      <c r="H17" s="3">
        <v>0</v>
      </c>
      <c r="I17" s="3">
        <v>2</v>
      </c>
      <c r="K17" s="3">
        <f>AxTable1[[#This Row],[Deliver remainder]]-AxTable1[[#This Row],[TSI/CSATX260214NC-CAM-ETA 02/03/2026]]</f>
        <v>2</v>
      </c>
      <c r="L17" s="3" t="s">
        <v>202</v>
      </c>
      <c r="M17" s="4">
        <v>46073</v>
      </c>
      <c r="N17" s="4">
        <v>46085</v>
      </c>
      <c r="P17" s="2" t="s">
        <v>42</v>
      </c>
    </row>
    <row r="18" spans="1:16" hidden="1" x14ac:dyDescent="0.25">
      <c r="A18" s="1">
        <v>46049.336597222202</v>
      </c>
      <c r="B18" s="2" t="s">
        <v>13</v>
      </c>
      <c r="C18" s="2" t="s">
        <v>61</v>
      </c>
      <c r="D18" s="2" t="s">
        <v>52</v>
      </c>
      <c r="E18" s="2" t="s">
        <v>53</v>
      </c>
      <c r="F18" s="2" t="s">
        <v>23</v>
      </c>
      <c r="G18" s="3">
        <v>8650</v>
      </c>
      <c r="H18" s="3">
        <v>0</v>
      </c>
      <c r="I18" s="3">
        <v>8650</v>
      </c>
      <c r="K18" s="3">
        <f>AxTable1[[#This Row],[Deliver remainder]]-AxTable1[[#This Row],[TSI/CSATX260214NC-CAM-ETA 02/03/2026]]</f>
        <v>8650</v>
      </c>
      <c r="M18" s="4">
        <v>46091</v>
      </c>
      <c r="N18" s="4">
        <v>46106</v>
      </c>
      <c r="O18" s="2" t="s">
        <v>62</v>
      </c>
      <c r="P18" s="2" t="s">
        <v>25</v>
      </c>
    </row>
    <row r="19" spans="1:16" hidden="1" x14ac:dyDescent="0.25">
      <c r="A19" s="1">
        <v>46049.337708333303</v>
      </c>
      <c r="B19" s="2" t="s">
        <v>13</v>
      </c>
      <c r="C19" s="2" t="s">
        <v>61</v>
      </c>
      <c r="D19" s="2" t="s">
        <v>52</v>
      </c>
      <c r="E19" s="2" t="s">
        <v>53</v>
      </c>
      <c r="F19" s="2" t="s">
        <v>23</v>
      </c>
      <c r="G19" s="3">
        <v>22</v>
      </c>
      <c r="H19" s="3">
        <v>0</v>
      </c>
      <c r="I19" s="3">
        <v>22</v>
      </c>
      <c r="K19" s="3">
        <f>AxTable1[[#This Row],[Deliver remainder]]-AxTable1[[#This Row],[TSI/CSATX260214NC-CAM-ETA 02/03/2026]]</f>
        <v>22</v>
      </c>
      <c r="M19" s="4">
        <v>46091</v>
      </c>
      <c r="N19" s="4">
        <v>46106</v>
      </c>
      <c r="O19" s="2" t="s">
        <v>63</v>
      </c>
      <c r="P19" s="2" t="s">
        <v>42</v>
      </c>
    </row>
    <row r="20" spans="1:16" hidden="1" x14ac:dyDescent="0.25">
      <c r="A20" s="1">
        <v>46049.356006944399</v>
      </c>
      <c r="B20" s="2" t="s">
        <v>13</v>
      </c>
      <c r="C20" s="2" t="s">
        <v>64</v>
      </c>
      <c r="D20" s="2" t="s">
        <v>27</v>
      </c>
      <c r="E20" s="2" t="s">
        <v>65</v>
      </c>
      <c r="F20" s="2" t="s">
        <v>29</v>
      </c>
      <c r="G20" s="3">
        <v>7</v>
      </c>
      <c r="H20" s="3">
        <v>0</v>
      </c>
      <c r="I20" s="3">
        <v>7</v>
      </c>
      <c r="K20" s="3">
        <f>AxTable1[[#This Row],[Deliver remainder]]-AxTable1[[#This Row],[TSI/CSATX260214NC-CAM-ETA 02/03/2026]]</f>
        <v>7</v>
      </c>
      <c r="L20" s="3" t="s">
        <v>202</v>
      </c>
      <c r="M20" s="4">
        <v>46071</v>
      </c>
      <c r="N20" s="4">
        <v>46092</v>
      </c>
      <c r="P20" s="2" t="s">
        <v>25</v>
      </c>
    </row>
    <row r="21" spans="1:16" hidden="1" x14ac:dyDescent="0.25">
      <c r="A21" s="1">
        <v>46049.356018518498</v>
      </c>
      <c r="B21" s="2" t="s">
        <v>13</v>
      </c>
      <c r="C21" s="2" t="s">
        <v>64</v>
      </c>
      <c r="D21" s="2" t="s">
        <v>27</v>
      </c>
      <c r="E21" s="2" t="s">
        <v>65</v>
      </c>
      <c r="F21" s="2" t="s">
        <v>29</v>
      </c>
      <c r="G21" s="3">
        <v>142</v>
      </c>
      <c r="H21" s="3">
        <v>0</v>
      </c>
      <c r="I21" s="3">
        <v>142</v>
      </c>
      <c r="K21" s="3">
        <f>AxTable1[[#This Row],[Deliver remainder]]-AxTable1[[#This Row],[TSI/CSATX260214NC-CAM-ETA 02/03/2026]]</f>
        <v>142</v>
      </c>
      <c r="L21" s="3" t="s">
        <v>202</v>
      </c>
      <c r="M21" s="4">
        <v>46071</v>
      </c>
      <c r="N21" s="4">
        <v>46092</v>
      </c>
      <c r="P21" s="2" t="s">
        <v>25</v>
      </c>
    </row>
    <row r="22" spans="1:16" hidden="1" x14ac:dyDescent="0.25">
      <c r="A22" s="1">
        <v>46049.356041666702</v>
      </c>
      <c r="B22" s="2" t="s">
        <v>13</v>
      </c>
      <c r="C22" s="2" t="s">
        <v>64</v>
      </c>
      <c r="D22" s="2" t="s">
        <v>27</v>
      </c>
      <c r="E22" s="2" t="s">
        <v>65</v>
      </c>
      <c r="F22" s="2" t="s">
        <v>29</v>
      </c>
      <c r="G22" s="3">
        <v>10</v>
      </c>
      <c r="H22" s="3">
        <v>0</v>
      </c>
      <c r="I22" s="3">
        <v>10</v>
      </c>
      <c r="K22" s="3">
        <f>AxTable1[[#This Row],[Deliver remainder]]-AxTable1[[#This Row],[TSI/CSATX260214NC-CAM-ETA 02/03/2026]]</f>
        <v>10</v>
      </c>
      <c r="L22" s="3" t="s">
        <v>202</v>
      </c>
      <c r="M22" s="4">
        <v>46071</v>
      </c>
      <c r="N22" s="4">
        <v>46092</v>
      </c>
      <c r="P22" s="2" t="s">
        <v>25</v>
      </c>
    </row>
    <row r="23" spans="1:16" hidden="1" x14ac:dyDescent="0.25">
      <c r="A23" s="1">
        <v>46049.358912037002</v>
      </c>
      <c r="B23" s="2" t="s">
        <v>13</v>
      </c>
      <c r="C23" s="2" t="s">
        <v>64</v>
      </c>
      <c r="D23" s="2" t="s">
        <v>27</v>
      </c>
      <c r="E23" s="2" t="s">
        <v>65</v>
      </c>
      <c r="F23" s="2" t="s">
        <v>29</v>
      </c>
      <c r="G23" s="3">
        <v>3</v>
      </c>
      <c r="H23" s="3">
        <v>0</v>
      </c>
      <c r="I23" s="3">
        <v>3</v>
      </c>
      <c r="K23" s="3">
        <f>AxTable1[[#This Row],[Deliver remainder]]-AxTable1[[#This Row],[TSI/CSATX260214NC-CAM-ETA 02/03/2026]]</f>
        <v>3</v>
      </c>
      <c r="L23" s="3" t="s">
        <v>202</v>
      </c>
      <c r="M23" s="4">
        <v>46071</v>
      </c>
      <c r="N23" s="4">
        <v>46092</v>
      </c>
      <c r="P23" s="2" t="s">
        <v>42</v>
      </c>
    </row>
    <row r="24" spans="1:16" hidden="1" x14ac:dyDescent="0.25">
      <c r="A24" s="1">
        <v>46049.362696759301</v>
      </c>
      <c r="B24" s="2" t="s">
        <v>13</v>
      </c>
      <c r="C24" s="2" t="s">
        <v>64</v>
      </c>
      <c r="D24" s="2" t="s">
        <v>27</v>
      </c>
      <c r="E24" s="2" t="s">
        <v>65</v>
      </c>
      <c r="F24" s="2" t="s">
        <v>29</v>
      </c>
      <c r="G24" s="3">
        <v>2</v>
      </c>
      <c r="H24" s="3">
        <v>0</v>
      </c>
      <c r="I24" s="3">
        <v>2</v>
      </c>
      <c r="K24" s="3">
        <f>AxTable1[[#This Row],[Deliver remainder]]-AxTable1[[#This Row],[TSI/CSATX260214NC-CAM-ETA 02/03/2026]]</f>
        <v>2</v>
      </c>
      <c r="L24" s="3" t="s">
        <v>202</v>
      </c>
      <c r="M24" s="4">
        <v>46071</v>
      </c>
      <c r="N24" s="4">
        <v>46092</v>
      </c>
      <c r="P24" s="2" t="s">
        <v>42</v>
      </c>
    </row>
    <row r="25" spans="1:16" hidden="1" x14ac:dyDescent="0.25">
      <c r="A25" s="1">
        <v>46049.363136574102</v>
      </c>
      <c r="B25" s="2" t="s">
        <v>13</v>
      </c>
      <c r="C25" s="2" t="s">
        <v>64</v>
      </c>
      <c r="D25" s="2" t="s">
        <v>27</v>
      </c>
      <c r="E25" s="2" t="s">
        <v>65</v>
      </c>
      <c r="F25" s="2" t="s">
        <v>29</v>
      </c>
      <c r="G25" s="3">
        <v>21</v>
      </c>
      <c r="H25" s="3">
        <v>0</v>
      </c>
      <c r="I25" s="3">
        <v>21</v>
      </c>
      <c r="K25" s="3">
        <f>AxTable1[[#This Row],[Deliver remainder]]-AxTable1[[#This Row],[TSI/CSATX260214NC-CAM-ETA 02/03/2026]]</f>
        <v>21</v>
      </c>
      <c r="L25" s="3" t="s">
        <v>202</v>
      </c>
      <c r="M25" s="4">
        <v>46071</v>
      </c>
      <c r="N25" s="4">
        <v>46092</v>
      </c>
      <c r="P25" s="2" t="s">
        <v>42</v>
      </c>
    </row>
    <row r="26" spans="1:16" hidden="1" x14ac:dyDescent="0.25">
      <c r="A26" s="1">
        <v>46049.369236111103</v>
      </c>
      <c r="B26" s="2" t="s">
        <v>13</v>
      </c>
      <c r="C26" s="2" t="s">
        <v>66</v>
      </c>
      <c r="D26" s="2" t="s">
        <v>21</v>
      </c>
      <c r="E26" s="2" t="s">
        <v>67</v>
      </c>
      <c r="F26" s="2" t="s">
        <v>23</v>
      </c>
      <c r="G26" s="3">
        <v>1175</v>
      </c>
      <c r="H26" s="3">
        <v>989</v>
      </c>
      <c r="I26" s="3">
        <v>186</v>
      </c>
      <c r="J26" s="3">
        <v>186</v>
      </c>
      <c r="K26" s="3">
        <f>AxTable1[[#This Row],[Deliver remainder]]-AxTable1[[#This Row],[TSI/CSATX260214NC-CAM-ETA 02/03/2026]]</f>
        <v>0</v>
      </c>
      <c r="L26" s="3" t="s">
        <v>201</v>
      </c>
      <c r="M26" s="4">
        <v>46071</v>
      </c>
      <c r="N26" s="4">
        <v>46085</v>
      </c>
      <c r="O26" s="2" t="s">
        <v>68</v>
      </c>
      <c r="P26" s="2" t="s">
        <v>25</v>
      </c>
    </row>
    <row r="27" spans="1:16" hidden="1" x14ac:dyDescent="0.25">
      <c r="A27" s="1">
        <v>46049.369525463</v>
      </c>
      <c r="B27" s="2" t="s">
        <v>13</v>
      </c>
      <c r="C27" s="2" t="s">
        <v>66</v>
      </c>
      <c r="D27" s="2" t="s">
        <v>21</v>
      </c>
      <c r="E27" s="2" t="s">
        <v>69</v>
      </c>
      <c r="F27" s="2" t="s">
        <v>23</v>
      </c>
      <c r="G27" s="3">
        <v>1312</v>
      </c>
      <c r="H27" s="3">
        <v>0</v>
      </c>
      <c r="I27" s="3">
        <v>1312</v>
      </c>
      <c r="J27" s="3">
        <v>1312</v>
      </c>
      <c r="K27" s="3">
        <f>AxTable1[[#This Row],[Deliver remainder]]-AxTable1[[#This Row],[TSI/CSATX260214NC-CAM-ETA 02/03/2026]]</f>
        <v>0</v>
      </c>
      <c r="L27" s="3" t="s">
        <v>201</v>
      </c>
      <c r="M27" s="4">
        <v>46071</v>
      </c>
      <c r="N27" s="4">
        <v>46085</v>
      </c>
      <c r="O27" s="2" t="s">
        <v>60</v>
      </c>
      <c r="P27" s="2" t="s">
        <v>37</v>
      </c>
    </row>
    <row r="28" spans="1:16" hidden="1" x14ac:dyDescent="0.25">
      <c r="A28" s="1">
        <v>46049.370578703703</v>
      </c>
      <c r="B28" s="2" t="s">
        <v>13</v>
      </c>
      <c r="C28" s="2" t="s">
        <v>66</v>
      </c>
      <c r="D28" s="2" t="s">
        <v>21</v>
      </c>
      <c r="E28" s="2" t="s">
        <v>67</v>
      </c>
      <c r="F28" s="2" t="s">
        <v>23</v>
      </c>
      <c r="G28" s="3">
        <v>2</v>
      </c>
      <c r="H28" s="3">
        <v>0</v>
      </c>
      <c r="I28" s="3">
        <v>2</v>
      </c>
      <c r="J28" s="3">
        <v>2</v>
      </c>
      <c r="K28" s="3">
        <f>AxTable1[[#This Row],[Deliver remainder]]-AxTable1[[#This Row],[TSI/CSATX260214NC-CAM-ETA 02/03/2026]]</f>
        <v>0</v>
      </c>
      <c r="L28" s="3" t="s">
        <v>201</v>
      </c>
      <c r="M28" s="4">
        <v>46071</v>
      </c>
      <c r="N28" s="4">
        <v>46085</v>
      </c>
      <c r="O28" s="2" t="s">
        <v>70</v>
      </c>
      <c r="P28" s="2" t="s">
        <v>42</v>
      </c>
    </row>
    <row r="29" spans="1:16" hidden="1" x14ac:dyDescent="0.25">
      <c r="A29" s="1">
        <v>46049.380324074104</v>
      </c>
      <c r="B29" s="2" t="s">
        <v>13</v>
      </c>
      <c r="C29" s="2" t="s">
        <v>66</v>
      </c>
      <c r="D29" s="2" t="s">
        <v>21</v>
      </c>
      <c r="E29" s="2" t="s">
        <v>69</v>
      </c>
      <c r="F29" s="2" t="s">
        <v>23</v>
      </c>
      <c r="G29" s="3">
        <v>2</v>
      </c>
      <c r="H29" s="3">
        <v>0</v>
      </c>
      <c r="I29" s="3">
        <v>2</v>
      </c>
      <c r="J29" s="3">
        <v>2</v>
      </c>
      <c r="K29" s="3">
        <f>AxTable1[[#This Row],[Deliver remainder]]-AxTable1[[#This Row],[TSI/CSATX260214NC-CAM-ETA 02/03/2026]]</f>
        <v>0</v>
      </c>
      <c r="L29" s="3" t="s">
        <v>201</v>
      </c>
      <c r="M29" s="4">
        <v>46071</v>
      </c>
      <c r="N29" s="4">
        <v>46085</v>
      </c>
      <c r="O29" s="2" t="s">
        <v>71</v>
      </c>
      <c r="P29" s="2" t="s">
        <v>42</v>
      </c>
    </row>
    <row r="30" spans="1:16" hidden="1" x14ac:dyDescent="0.25">
      <c r="A30" s="1">
        <v>46049.381678240701</v>
      </c>
      <c r="B30" s="2" t="s">
        <v>13</v>
      </c>
      <c r="C30" s="2" t="s">
        <v>72</v>
      </c>
      <c r="D30" s="2" t="s">
        <v>73</v>
      </c>
      <c r="E30" s="2" t="s">
        <v>74</v>
      </c>
      <c r="F30" s="2" t="s">
        <v>17</v>
      </c>
      <c r="G30" s="3">
        <v>1419</v>
      </c>
      <c r="H30" s="3">
        <v>1407</v>
      </c>
      <c r="I30" s="3">
        <v>12</v>
      </c>
      <c r="J30" s="3">
        <v>12</v>
      </c>
      <c r="K30" s="3">
        <f>AxTable1[[#This Row],[Deliver remainder]]-AxTable1[[#This Row],[TSI/CSATX260214NC-CAM-ETA 02/03/2026]]</f>
        <v>0</v>
      </c>
      <c r="L30" s="3" t="s">
        <v>201</v>
      </c>
      <c r="M30" s="4">
        <v>46071</v>
      </c>
      <c r="N30" s="4">
        <v>46085</v>
      </c>
      <c r="O30" s="2" t="s">
        <v>75</v>
      </c>
      <c r="P30" s="2" t="s">
        <v>25</v>
      </c>
    </row>
    <row r="31" spans="1:16" hidden="1" x14ac:dyDescent="0.25">
      <c r="A31" s="1">
        <v>46049.384016203701</v>
      </c>
      <c r="B31" s="2" t="s">
        <v>13</v>
      </c>
      <c r="C31" s="2" t="s">
        <v>76</v>
      </c>
      <c r="D31" s="2" t="s">
        <v>57</v>
      </c>
      <c r="E31" s="2" t="s">
        <v>77</v>
      </c>
      <c r="F31" s="2" t="s">
        <v>59</v>
      </c>
      <c r="G31" s="3">
        <v>661</v>
      </c>
      <c r="H31" s="3">
        <v>522</v>
      </c>
      <c r="I31" s="3">
        <v>139</v>
      </c>
      <c r="K31" s="3">
        <f>AxTable1[[#This Row],[Deliver remainder]]-AxTable1[[#This Row],[TSI/CSATX260214NC-CAM-ETA 02/03/2026]]</f>
        <v>139</v>
      </c>
      <c r="L31" s="3" t="s">
        <v>202</v>
      </c>
      <c r="M31" s="4">
        <v>46071</v>
      </c>
      <c r="N31" s="4">
        <v>46092</v>
      </c>
      <c r="P31" s="2" t="s">
        <v>25</v>
      </c>
    </row>
    <row r="32" spans="1:16" hidden="1" x14ac:dyDescent="0.25">
      <c r="A32" s="1">
        <v>46049.384837963</v>
      </c>
      <c r="B32" s="2" t="s">
        <v>13</v>
      </c>
      <c r="C32" s="2" t="s">
        <v>76</v>
      </c>
      <c r="D32" s="2" t="s">
        <v>57</v>
      </c>
      <c r="E32" s="2" t="s">
        <v>77</v>
      </c>
      <c r="F32" s="2" t="s">
        <v>59</v>
      </c>
      <c r="G32" s="3">
        <v>4</v>
      </c>
      <c r="H32" s="3">
        <v>0</v>
      </c>
      <c r="I32" s="3">
        <v>4</v>
      </c>
      <c r="K32" s="3">
        <f>AxTable1[[#This Row],[Deliver remainder]]-AxTable1[[#This Row],[TSI/CSATX260214NC-CAM-ETA 02/03/2026]]</f>
        <v>4</v>
      </c>
      <c r="L32" s="3" t="s">
        <v>202</v>
      </c>
      <c r="M32" s="4">
        <v>46071</v>
      </c>
      <c r="N32" s="4">
        <v>46092</v>
      </c>
      <c r="P32" s="2" t="s">
        <v>42</v>
      </c>
    </row>
    <row r="33" spans="1:16" hidden="1" x14ac:dyDescent="0.25">
      <c r="A33" s="1">
        <v>46049.730509259301</v>
      </c>
      <c r="B33" s="2" t="s">
        <v>13</v>
      </c>
      <c r="C33" s="2" t="s">
        <v>78</v>
      </c>
      <c r="D33" s="2" t="s">
        <v>39</v>
      </c>
      <c r="E33" s="2" t="s">
        <v>40</v>
      </c>
      <c r="F33" s="2" t="s">
        <v>41</v>
      </c>
      <c r="G33" s="3">
        <v>18438</v>
      </c>
      <c r="H33" s="3">
        <v>0</v>
      </c>
      <c r="I33" s="3">
        <v>18438</v>
      </c>
      <c r="K33" s="3">
        <f>AxTable1[[#This Row],[Deliver remainder]]-AxTable1[[#This Row],[TSI/CSATX260214NC-CAM-ETA 02/03/2026]]</f>
        <v>18438</v>
      </c>
      <c r="M33" s="4">
        <v>46085</v>
      </c>
      <c r="N33" s="4">
        <v>46099</v>
      </c>
      <c r="P33" s="2" t="s">
        <v>25</v>
      </c>
    </row>
    <row r="34" spans="1:16" hidden="1" x14ac:dyDescent="0.25">
      <c r="A34" s="1">
        <v>46049.7350462963</v>
      </c>
      <c r="B34" s="2" t="s">
        <v>13</v>
      </c>
      <c r="C34" s="2" t="s">
        <v>78</v>
      </c>
      <c r="D34" s="2" t="s">
        <v>39</v>
      </c>
      <c r="E34" s="2" t="s">
        <v>40</v>
      </c>
      <c r="F34" s="2" t="s">
        <v>41</v>
      </c>
      <c r="G34" s="3">
        <v>315</v>
      </c>
      <c r="H34" s="3">
        <v>0</v>
      </c>
      <c r="I34" s="3">
        <v>315</v>
      </c>
      <c r="K34" s="3">
        <f>AxTable1[[#This Row],[Deliver remainder]]-AxTable1[[#This Row],[TSI/CSATX260214NC-CAM-ETA 02/03/2026]]</f>
        <v>315</v>
      </c>
      <c r="M34" s="4">
        <v>46085</v>
      </c>
      <c r="N34" s="4">
        <v>46099</v>
      </c>
      <c r="O34" s="2" t="s">
        <v>79</v>
      </c>
      <c r="P34" s="2" t="s">
        <v>42</v>
      </c>
    </row>
    <row r="35" spans="1:16" hidden="1" x14ac:dyDescent="0.25">
      <c r="A35" s="1">
        <v>46051.649027777799</v>
      </c>
      <c r="B35" s="2" t="s">
        <v>13</v>
      </c>
      <c r="C35" s="2" t="s">
        <v>80</v>
      </c>
      <c r="D35" s="2" t="s">
        <v>21</v>
      </c>
      <c r="E35" s="2" t="s">
        <v>81</v>
      </c>
      <c r="F35" s="2" t="s">
        <v>23</v>
      </c>
      <c r="G35" s="3">
        <v>277</v>
      </c>
      <c r="H35" s="3">
        <v>0</v>
      </c>
      <c r="I35" s="3">
        <v>277</v>
      </c>
      <c r="J35" s="3">
        <v>277</v>
      </c>
      <c r="K35" s="3">
        <f>AxTable1[[#This Row],[Deliver remainder]]-AxTable1[[#This Row],[TSI/CSATX260214NC-CAM-ETA 02/03/2026]]</f>
        <v>0</v>
      </c>
      <c r="L35" s="3" t="s">
        <v>201</v>
      </c>
      <c r="M35" s="4">
        <v>46077</v>
      </c>
      <c r="N35" s="4">
        <v>46085</v>
      </c>
      <c r="O35" s="2" t="s">
        <v>82</v>
      </c>
      <c r="P35" s="2" t="s">
        <v>42</v>
      </c>
    </row>
    <row r="36" spans="1:16" hidden="1" x14ac:dyDescent="0.25">
      <c r="A36" s="1">
        <v>46057.312083333301</v>
      </c>
      <c r="B36" s="2" t="s">
        <v>13</v>
      </c>
      <c r="C36" s="2" t="s">
        <v>83</v>
      </c>
      <c r="D36" s="2" t="s">
        <v>21</v>
      </c>
      <c r="E36" s="2" t="s">
        <v>22</v>
      </c>
      <c r="F36" s="2" t="s">
        <v>23</v>
      </c>
      <c r="G36" s="3">
        <v>160</v>
      </c>
      <c r="H36" s="3">
        <v>0</v>
      </c>
      <c r="I36" s="3">
        <v>160</v>
      </c>
      <c r="K36" s="3">
        <f>AxTable1[[#This Row],[Deliver remainder]]-AxTable1[[#This Row],[TSI/CSATX260214NC-CAM-ETA 02/03/2026]]</f>
        <v>160</v>
      </c>
      <c r="M36" s="4">
        <v>46082</v>
      </c>
      <c r="N36" s="4">
        <v>46092</v>
      </c>
      <c r="P36" s="2" t="s">
        <v>42</v>
      </c>
    </row>
    <row r="37" spans="1:16" hidden="1" x14ac:dyDescent="0.25">
      <c r="A37" s="1">
        <v>46059.356203703697</v>
      </c>
      <c r="B37" s="2" t="s">
        <v>13</v>
      </c>
      <c r="C37" s="2" t="s">
        <v>84</v>
      </c>
      <c r="D37" s="2" t="s">
        <v>85</v>
      </c>
      <c r="E37" s="2" t="s">
        <v>65</v>
      </c>
      <c r="F37" s="2" t="s">
        <v>86</v>
      </c>
      <c r="G37" s="3">
        <v>24</v>
      </c>
      <c r="H37" s="3">
        <v>0</v>
      </c>
      <c r="I37" s="3">
        <v>24</v>
      </c>
      <c r="J37" s="3">
        <v>24</v>
      </c>
      <c r="K37" s="3">
        <f>AxTable1[[#This Row],[Deliver remainder]]-AxTable1[[#This Row],[TSI/CSATX260214NC-CAM-ETA 02/03/2026]]</f>
        <v>0</v>
      </c>
      <c r="L37" s="3" t="s">
        <v>201</v>
      </c>
      <c r="M37" s="4">
        <v>46101</v>
      </c>
      <c r="N37" s="4">
        <v>46085</v>
      </c>
      <c r="O37" s="2" t="s">
        <v>87</v>
      </c>
      <c r="P37" s="2" t="s">
        <v>42</v>
      </c>
    </row>
    <row r="38" spans="1:16" hidden="1" x14ac:dyDescent="0.25">
      <c r="A38" s="1">
        <v>46059.712928240697</v>
      </c>
      <c r="B38" s="2" t="s">
        <v>13</v>
      </c>
      <c r="C38" s="2" t="s">
        <v>88</v>
      </c>
      <c r="D38" s="2" t="s">
        <v>39</v>
      </c>
      <c r="E38" s="2" t="s">
        <v>40</v>
      </c>
      <c r="F38" s="2" t="s">
        <v>41</v>
      </c>
      <c r="G38" s="3">
        <v>660</v>
      </c>
      <c r="H38" s="3">
        <v>0</v>
      </c>
      <c r="I38" s="3">
        <v>660</v>
      </c>
      <c r="K38" s="3">
        <f>AxTable1[[#This Row],[Deliver remainder]]-AxTable1[[#This Row],[TSI/CSATX260214NC-CAM-ETA 02/03/2026]]</f>
        <v>660</v>
      </c>
      <c r="L38" s="3" t="s">
        <v>202</v>
      </c>
      <c r="M38" s="4">
        <v>46076</v>
      </c>
      <c r="N38" s="4">
        <v>46092</v>
      </c>
      <c r="P38" s="2" t="s">
        <v>25</v>
      </c>
    </row>
    <row r="39" spans="1:16" x14ac:dyDescent="0.25">
      <c r="A39" s="1">
        <v>46061.404999999999</v>
      </c>
      <c r="B39" s="2" t="s">
        <v>13</v>
      </c>
      <c r="C39" s="2" t="s">
        <v>90</v>
      </c>
      <c r="D39" s="2" t="s">
        <v>91</v>
      </c>
      <c r="E39" s="2" t="s">
        <v>74</v>
      </c>
      <c r="F39" s="2" t="s">
        <v>17</v>
      </c>
      <c r="G39" s="3">
        <v>37946</v>
      </c>
      <c r="H39" s="3">
        <v>0</v>
      </c>
      <c r="I39" s="3">
        <v>37946</v>
      </c>
      <c r="J39" s="3">
        <v>37946</v>
      </c>
      <c r="K39" s="3">
        <f>AxTable1[[#This Row],[Deliver remainder]]-AxTable1[[#This Row],[TSI/CSATX260214NC-CAM-ETA 02/03/2026]]</f>
        <v>0</v>
      </c>
      <c r="L39" s="3" t="s">
        <v>201</v>
      </c>
      <c r="M39" s="4">
        <v>46090</v>
      </c>
      <c r="N39" s="4">
        <v>46085</v>
      </c>
      <c r="O39" s="2" t="s">
        <v>92</v>
      </c>
      <c r="P39" s="2" t="s">
        <v>25</v>
      </c>
    </row>
    <row r="40" spans="1:16" x14ac:dyDescent="0.25">
      <c r="A40" s="1">
        <v>46061.405243055597</v>
      </c>
      <c r="B40" s="2" t="s">
        <v>13</v>
      </c>
      <c r="C40" s="2" t="s">
        <v>90</v>
      </c>
      <c r="D40" s="2" t="s">
        <v>91</v>
      </c>
      <c r="E40" s="2" t="s">
        <v>93</v>
      </c>
      <c r="F40" s="2" t="s">
        <v>17</v>
      </c>
      <c r="G40" s="3">
        <v>21485</v>
      </c>
      <c r="H40" s="3">
        <v>0</v>
      </c>
      <c r="I40" s="3">
        <v>21485</v>
      </c>
      <c r="J40" s="3">
        <v>15966</v>
      </c>
      <c r="K40" s="3">
        <f>AxTable1[[#This Row],[Deliver remainder]]-AxTable1[[#This Row],[TSI/CSATX260214NC-CAM-ETA 02/03/2026]]</f>
        <v>5519</v>
      </c>
      <c r="M40" s="4">
        <v>46090</v>
      </c>
      <c r="N40" s="4">
        <v>46099</v>
      </c>
      <c r="O40" s="2" t="s">
        <v>94</v>
      </c>
      <c r="P40" s="2" t="s">
        <v>25</v>
      </c>
    </row>
    <row r="41" spans="1:16" x14ac:dyDescent="0.25">
      <c r="A41" s="1">
        <v>46061.405405092599</v>
      </c>
      <c r="B41" s="2" t="s">
        <v>13</v>
      </c>
      <c r="C41" s="2" t="s">
        <v>90</v>
      </c>
      <c r="D41" s="2" t="s">
        <v>91</v>
      </c>
      <c r="E41" s="2" t="s">
        <v>95</v>
      </c>
      <c r="F41" s="2" t="s">
        <v>17</v>
      </c>
      <c r="G41" s="3">
        <v>1371</v>
      </c>
      <c r="H41" s="3">
        <v>0</v>
      </c>
      <c r="I41" s="3">
        <v>1371</v>
      </c>
      <c r="J41" s="3">
        <v>1371</v>
      </c>
      <c r="K41" s="3">
        <f>AxTable1[[#This Row],[Deliver remainder]]-AxTable1[[#This Row],[TSI/CSATX260214NC-CAM-ETA 02/03/2026]]</f>
        <v>0</v>
      </c>
      <c r="L41" s="3" t="s">
        <v>201</v>
      </c>
      <c r="M41" s="4">
        <v>46090</v>
      </c>
      <c r="N41" s="4">
        <v>46085</v>
      </c>
      <c r="O41" s="2" t="s">
        <v>96</v>
      </c>
      <c r="P41" s="2" t="s">
        <v>25</v>
      </c>
    </row>
    <row r="42" spans="1:16" x14ac:dyDescent="0.25">
      <c r="A42" s="1">
        <v>46061.407696759299</v>
      </c>
      <c r="B42" s="2" t="s">
        <v>13</v>
      </c>
      <c r="C42" s="2" t="s">
        <v>90</v>
      </c>
      <c r="D42" s="2" t="s">
        <v>91</v>
      </c>
      <c r="E42" s="2" t="s">
        <v>74</v>
      </c>
      <c r="F42" s="2" t="s">
        <v>17</v>
      </c>
      <c r="G42" s="3">
        <v>1004</v>
      </c>
      <c r="H42" s="3">
        <v>0</v>
      </c>
      <c r="I42" s="3">
        <v>1004</v>
      </c>
      <c r="J42" s="3">
        <v>1004</v>
      </c>
      <c r="K42" s="3">
        <f>AxTable1[[#This Row],[Deliver remainder]]-AxTable1[[#This Row],[TSI/CSATX260214NC-CAM-ETA 02/03/2026]]</f>
        <v>0</v>
      </c>
      <c r="L42" s="3" t="s">
        <v>201</v>
      </c>
      <c r="M42" s="4">
        <v>46090</v>
      </c>
      <c r="N42" s="4">
        <v>46085</v>
      </c>
      <c r="O42" s="2" t="s">
        <v>97</v>
      </c>
      <c r="P42" s="2" t="s">
        <v>42</v>
      </c>
    </row>
    <row r="43" spans="1:16" hidden="1" x14ac:dyDescent="0.25">
      <c r="A43" s="1">
        <v>46061.407928240696</v>
      </c>
      <c r="B43" s="2" t="s">
        <v>13</v>
      </c>
      <c r="C43" s="2" t="s">
        <v>90</v>
      </c>
      <c r="D43" s="2" t="s">
        <v>91</v>
      </c>
      <c r="E43" s="2" t="s">
        <v>93</v>
      </c>
      <c r="F43" s="2" t="s">
        <v>17</v>
      </c>
      <c r="G43" s="3">
        <v>118</v>
      </c>
      <c r="H43" s="3">
        <v>0</v>
      </c>
      <c r="I43" s="3">
        <v>118</v>
      </c>
      <c r="K43" s="3">
        <f>AxTable1[[#This Row],[Deliver remainder]]-AxTable1[[#This Row],[TSI/CSATX260214NC-CAM-ETA 02/03/2026]]</f>
        <v>118</v>
      </c>
      <c r="M43" s="4">
        <v>46090</v>
      </c>
      <c r="N43" s="4">
        <v>46099</v>
      </c>
      <c r="O43" s="2" t="s">
        <v>98</v>
      </c>
      <c r="P43" s="2" t="s">
        <v>42</v>
      </c>
    </row>
    <row r="44" spans="1:16" x14ac:dyDescent="0.25">
      <c r="A44" s="1">
        <v>46061.408298611103</v>
      </c>
      <c r="B44" s="2" t="s">
        <v>13</v>
      </c>
      <c r="C44" s="2" t="s">
        <v>90</v>
      </c>
      <c r="D44" s="2" t="s">
        <v>91</v>
      </c>
      <c r="E44" s="2" t="s">
        <v>95</v>
      </c>
      <c r="F44" s="2" t="s">
        <v>17</v>
      </c>
      <c r="G44" s="3">
        <v>58</v>
      </c>
      <c r="H44" s="3">
        <v>0</v>
      </c>
      <c r="I44" s="3">
        <v>58</v>
      </c>
      <c r="J44" s="3">
        <v>58</v>
      </c>
      <c r="K44" s="3">
        <f>AxTable1[[#This Row],[Deliver remainder]]-AxTable1[[#This Row],[TSI/CSATX260214NC-CAM-ETA 02/03/2026]]</f>
        <v>0</v>
      </c>
      <c r="L44" s="3" t="s">
        <v>201</v>
      </c>
      <c r="M44" s="4">
        <v>46090</v>
      </c>
      <c r="N44" s="4">
        <v>46085</v>
      </c>
      <c r="O44" s="2" t="s">
        <v>99</v>
      </c>
      <c r="P44" s="2" t="s">
        <v>42</v>
      </c>
    </row>
    <row r="45" spans="1:16" hidden="1" x14ac:dyDescent="0.25">
      <c r="A45" s="1">
        <v>46061.409895833298</v>
      </c>
      <c r="B45" s="2" t="s">
        <v>13</v>
      </c>
      <c r="C45" s="2" t="s">
        <v>100</v>
      </c>
      <c r="D45" s="2" t="s">
        <v>27</v>
      </c>
      <c r="E45" s="2" t="s">
        <v>101</v>
      </c>
      <c r="F45" s="2" t="s">
        <v>29</v>
      </c>
      <c r="G45" s="3">
        <v>41</v>
      </c>
      <c r="H45" s="3">
        <v>0</v>
      </c>
      <c r="I45" s="3">
        <v>41</v>
      </c>
      <c r="J45" s="3">
        <v>41</v>
      </c>
      <c r="K45" s="3">
        <f>AxTable1[[#This Row],[Deliver remainder]]-AxTable1[[#This Row],[TSI/CSATX260214NC-CAM-ETA 02/03/2026]]</f>
        <v>0</v>
      </c>
      <c r="L45" s="3" t="s">
        <v>201</v>
      </c>
      <c r="M45" s="4">
        <v>46094</v>
      </c>
      <c r="N45" s="4">
        <v>46085</v>
      </c>
      <c r="O45" s="2" t="s">
        <v>102</v>
      </c>
      <c r="P45" s="2" t="s">
        <v>25</v>
      </c>
    </row>
    <row r="46" spans="1:16" hidden="1" x14ac:dyDescent="0.25">
      <c r="A46" s="1">
        <v>46061.411331018498</v>
      </c>
      <c r="B46" s="2" t="s">
        <v>13</v>
      </c>
      <c r="C46" s="2" t="s">
        <v>100</v>
      </c>
      <c r="D46" s="2" t="s">
        <v>27</v>
      </c>
      <c r="E46" s="2" t="s">
        <v>101</v>
      </c>
      <c r="F46" s="2" t="s">
        <v>29</v>
      </c>
      <c r="G46" s="3">
        <v>2</v>
      </c>
      <c r="H46" s="3">
        <v>0</v>
      </c>
      <c r="I46" s="3">
        <v>2</v>
      </c>
      <c r="J46" s="3">
        <v>2</v>
      </c>
      <c r="K46" s="3">
        <f>AxTable1[[#This Row],[Deliver remainder]]-AxTable1[[#This Row],[TSI/CSATX260214NC-CAM-ETA 02/03/2026]]</f>
        <v>0</v>
      </c>
      <c r="L46" s="3" t="s">
        <v>201</v>
      </c>
      <c r="M46" s="4">
        <v>46094</v>
      </c>
      <c r="N46" s="4">
        <v>46085</v>
      </c>
      <c r="O46" s="2" t="s">
        <v>103</v>
      </c>
      <c r="P46" s="2" t="s">
        <v>42</v>
      </c>
    </row>
    <row r="47" spans="1:16" hidden="1" x14ac:dyDescent="0.25">
      <c r="A47" s="1">
        <v>46061.411828703698</v>
      </c>
      <c r="B47" s="2" t="s">
        <v>13</v>
      </c>
      <c r="C47" s="2" t="s">
        <v>104</v>
      </c>
      <c r="D47" s="2" t="s">
        <v>105</v>
      </c>
      <c r="E47" s="2" t="s">
        <v>106</v>
      </c>
      <c r="F47" s="2" t="s">
        <v>17</v>
      </c>
      <c r="G47" s="3">
        <v>209</v>
      </c>
      <c r="H47" s="3">
        <v>0</v>
      </c>
      <c r="I47" s="3">
        <v>209</v>
      </c>
      <c r="K47" s="3">
        <f>AxTable1[[#This Row],[Deliver remainder]]-AxTable1[[#This Row],[TSI/CSATX260214NC-CAM-ETA 02/03/2026]]</f>
        <v>209</v>
      </c>
      <c r="M47" s="4">
        <v>46094</v>
      </c>
      <c r="N47" s="4">
        <v>46106</v>
      </c>
      <c r="O47" s="2" t="s">
        <v>107</v>
      </c>
      <c r="P47" s="2" t="s">
        <v>25</v>
      </c>
    </row>
    <row r="48" spans="1:16" hidden="1" x14ac:dyDescent="0.25">
      <c r="A48" s="1">
        <v>46061.417731481502</v>
      </c>
      <c r="B48" s="2" t="s">
        <v>13</v>
      </c>
      <c r="C48" s="2" t="s">
        <v>108</v>
      </c>
      <c r="D48" s="2" t="s">
        <v>21</v>
      </c>
      <c r="E48" s="2" t="s">
        <v>74</v>
      </c>
      <c r="F48" s="2" t="s">
        <v>23</v>
      </c>
      <c r="G48" s="3">
        <v>15</v>
      </c>
      <c r="H48" s="3">
        <v>0</v>
      </c>
      <c r="I48" s="3">
        <v>15</v>
      </c>
      <c r="J48" s="3">
        <v>15</v>
      </c>
      <c r="K48" s="3">
        <f>AxTable1[[#This Row],[Deliver remainder]]-AxTable1[[#This Row],[TSI/CSATX260214NC-CAM-ETA 02/03/2026]]</f>
        <v>0</v>
      </c>
      <c r="L48" s="3" t="s">
        <v>201</v>
      </c>
      <c r="M48" s="4">
        <v>46094</v>
      </c>
      <c r="N48" s="4">
        <v>46085</v>
      </c>
      <c r="O48" s="2" t="s">
        <v>109</v>
      </c>
      <c r="P48" s="2" t="s">
        <v>25</v>
      </c>
    </row>
    <row r="49" spans="1:16" hidden="1" x14ac:dyDescent="0.25">
      <c r="A49" s="1">
        <v>46061.417743055601</v>
      </c>
      <c r="B49" s="2" t="s">
        <v>13</v>
      </c>
      <c r="C49" s="2" t="s">
        <v>108</v>
      </c>
      <c r="D49" s="2" t="s">
        <v>21</v>
      </c>
      <c r="E49" s="2" t="s">
        <v>110</v>
      </c>
      <c r="F49" s="2" t="s">
        <v>23</v>
      </c>
      <c r="G49" s="3">
        <v>537</v>
      </c>
      <c r="H49" s="3">
        <v>0</v>
      </c>
      <c r="I49" s="3">
        <v>537</v>
      </c>
      <c r="J49" s="3">
        <v>537</v>
      </c>
      <c r="K49" s="3">
        <f>AxTable1[[#This Row],[Deliver remainder]]-AxTable1[[#This Row],[TSI/CSATX260214NC-CAM-ETA 02/03/2026]]</f>
        <v>0</v>
      </c>
      <c r="L49" s="3" t="s">
        <v>201</v>
      </c>
      <c r="M49" s="4">
        <v>46094</v>
      </c>
      <c r="N49" s="4">
        <v>46085</v>
      </c>
      <c r="O49" s="2" t="s">
        <v>111</v>
      </c>
      <c r="P49" s="2" t="s">
        <v>25</v>
      </c>
    </row>
    <row r="50" spans="1:16" hidden="1" x14ac:dyDescent="0.25">
      <c r="A50" s="1">
        <v>46061.417812500003</v>
      </c>
      <c r="B50" s="2" t="s">
        <v>13</v>
      </c>
      <c r="C50" s="2" t="s">
        <v>108</v>
      </c>
      <c r="D50" s="2" t="s">
        <v>21</v>
      </c>
      <c r="E50" s="2" t="s">
        <v>112</v>
      </c>
      <c r="F50" s="2" t="s">
        <v>23</v>
      </c>
      <c r="G50" s="3">
        <v>286</v>
      </c>
      <c r="H50" s="3">
        <v>0</v>
      </c>
      <c r="I50" s="3">
        <v>286</v>
      </c>
      <c r="K50" s="3">
        <f>AxTable1[[#This Row],[Deliver remainder]]-AxTable1[[#This Row],[TSI/CSATX260214NC-CAM-ETA 02/03/2026]]</f>
        <v>286</v>
      </c>
      <c r="M50" s="4">
        <v>46094</v>
      </c>
      <c r="N50" s="4">
        <v>46106</v>
      </c>
      <c r="O50" s="2" t="s">
        <v>107</v>
      </c>
      <c r="P50" s="2" t="s">
        <v>25</v>
      </c>
    </row>
    <row r="51" spans="1:16" hidden="1" x14ac:dyDescent="0.25">
      <c r="A51" s="1">
        <v>46061.417835648201</v>
      </c>
      <c r="B51" s="2" t="s">
        <v>13</v>
      </c>
      <c r="C51" s="2" t="s">
        <v>108</v>
      </c>
      <c r="D51" s="2" t="s">
        <v>21</v>
      </c>
      <c r="E51" s="2" t="s">
        <v>101</v>
      </c>
      <c r="F51" s="2" t="s">
        <v>23</v>
      </c>
      <c r="G51" s="3">
        <v>76</v>
      </c>
      <c r="H51" s="3">
        <v>0</v>
      </c>
      <c r="I51" s="3">
        <v>76</v>
      </c>
      <c r="J51" s="3">
        <v>76</v>
      </c>
      <c r="K51" s="3">
        <f>AxTable1[[#This Row],[Deliver remainder]]-AxTable1[[#This Row],[TSI/CSATX260214NC-CAM-ETA 02/03/2026]]</f>
        <v>0</v>
      </c>
      <c r="L51" s="3" t="s">
        <v>201</v>
      </c>
      <c r="M51" s="4">
        <v>46094</v>
      </c>
      <c r="N51" s="4">
        <v>46085</v>
      </c>
      <c r="O51" s="2" t="s">
        <v>113</v>
      </c>
      <c r="P51" s="2" t="s">
        <v>25</v>
      </c>
    </row>
    <row r="52" spans="1:16" hidden="1" x14ac:dyDescent="0.25">
      <c r="A52" s="1">
        <v>46061.422060185199</v>
      </c>
      <c r="B52" s="2" t="s">
        <v>13</v>
      </c>
      <c r="C52" s="2" t="s">
        <v>114</v>
      </c>
      <c r="D52" s="2" t="s">
        <v>21</v>
      </c>
      <c r="E52" s="2" t="s">
        <v>115</v>
      </c>
      <c r="F52" s="2" t="s">
        <v>23</v>
      </c>
      <c r="G52" s="3">
        <v>152</v>
      </c>
      <c r="H52" s="3">
        <v>0</v>
      </c>
      <c r="I52" s="3">
        <v>152</v>
      </c>
      <c r="J52" s="3">
        <v>152</v>
      </c>
      <c r="K52" s="3">
        <f>AxTable1[[#This Row],[Deliver remainder]]-AxTable1[[#This Row],[TSI/CSATX260214NC-CAM-ETA 02/03/2026]]</f>
        <v>0</v>
      </c>
      <c r="L52" s="3" t="s">
        <v>201</v>
      </c>
      <c r="M52" s="4">
        <v>46094</v>
      </c>
      <c r="N52" s="4">
        <v>46085</v>
      </c>
      <c r="O52" s="2" t="s">
        <v>109</v>
      </c>
      <c r="P52" s="2" t="s">
        <v>25</v>
      </c>
    </row>
    <row r="53" spans="1:16" hidden="1" x14ac:dyDescent="0.25">
      <c r="A53" s="1">
        <v>46061.422395833302</v>
      </c>
      <c r="B53" s="2" t="s">
        <v>13</v>
      </c>
      <c r="C53" s="2" t="s">
        <v>114</v>
      </c>
      <c r="D53" s="2" t="s">
        <v>21</v>
      </c>
      <c r="E53" s="2" t="s">
        <v>44</v>
      </c>
      <c r="F53" s="2" t="s">
        <v>23</v>
      </c>
      <c r="G53" s="3">
        <v>302</v>
      </c>
      <c r="H53" s="3">
        <v>0</v>
      </c>
      <c r="I53" s="3">
        <v>302</v>
      </c>
      <c r="J53" s="3">
        <v>302</v>
      </c>
      <c r="K53" s="3">
        <f>AxTable1[[#This Row],[Deliver remainder]]-AxTable1[[#This Row],[TSI/CSATX260214NC-CAM-ETA 02/03/2026]]</f>
        <v>0</v>
      </c>
      <c r="L53" s="3" t="s">
        <v>201</v>
      </c>
      <c r="M53" s="4">
        <v>46094</v>
      </c>
      <c r="N53" s="4">
        <v>46085</v>
      </c>
      <c r="O53" s="2" t="s">
        <v>113</v>
      </c>
      <c r="P53" s="2" t="s">
        <v>25</v>
      </c>
    </row>
    <row r="54" spans="1:16" hidden="1" x14ac:dyDescent="0.25">
      <c r="A54" s="1">
        <v>46061.423587963</v>
      </c>
      <c r="B54" s="2" t="s">
        <v>13</v>
      </c>
      <c r="C54" s="2" t="s">
        <v>108</v>
      </c>
      <c r="D54" s="2" t="s">
        <v>21</v>
      </c>
      <c r="E54" s="2" t="s">
        <v>74</v>
      </c>
      <c r="F54" s="2" t="s">
        <v>23</v>
      </c>
      <c r="G54" s="3">
        <v>1</v>
      </c>
      <c r="H54" s="3">
        <v>0</v>
      </c>
      <c r="I54" s="3">
        <v>1</v>
      </c>
      <c r="J54" s="3">
        <v>1</v>
      </c>
      <c r="K54" s="3">
        <f>AxTable1[[#This Row],[Deliver remainder]]-AxTable1[[#This Row],[TSI/CSATX260214NC-CAM-ETA 02/03/2026]]</f>
        <v>0</v>
      </c>
      <c r="L54" s="3" t="s">
        <v>201</v>
      </c>
      <c r="M54" s="4">
        <v>46094</v>
      </c>
      <c r="N54" s="4">
        <v>46085</v>
      </c>
      <c r="O54" s="2" t="s">
        <v>116</v>
      </c>
      <c r="P54" s="2" t="s">
        <v>42</v>
      </c>
    </row>
    <row r="55" spans="1:16" hidden="1" x14ac:dyDescent="0.25">
      <c r="A55" s="1">
        <v>46061.4239930556</v>
      </c>
      <c r="B55" s="2" t="s">
        <v>13</v>
      </c>
      <c r="C55" s="2" t="s">
        <v>108</v>
      </c>
      <c r="D55" s="2" t="s">
        <v>21</v>
      </c>
      <c r="E55" s="2" t="s">
        <v>110</v>
      </c>
      <c r="F55" s="2" t="s">
        <v>23</v>
      </c>
      <c r="G55" s="3">
        <v>1</v>
      </c>
      <c r="H55" s="3">
        <v>0</v>
      </c>
      <c r="I55" s="3">
        <v>1</v>
      </c>
      <c r="J55" s="3">
        <v>1</v>
      </c>
      <c r="K55" s="3">
        <f>AxTable1[[#This Row],[Deliver remainder]]-AxTable1[[#This Row],[TSI/CSATX260214NC-CAM-ETA 02/03/2026]]</f>
        <v>0</v>
      </c>
      <c r="L55" s="3" t="s">
        <v>201</v>
      </c>
      <c r="M55" s="4">
        <v>46094</v>
      </c>
      <c r="N55" s="4">
        <v>46085</v>
      </c>
      <c r="O55" s="2" t="s">
        <v>117</v>
      </c>
      <c r="P55" s="2" t="s">
        <v>42</v>
      </c>
    </row>
    <row r="56" spans="1:16" hidden="1" x14ac:dyDescent="0.25">
      <c r="A56" s="1">
        <v>46061.425069444398</v>
      </c>
      <c r="B56" s="2" t="s">
        <v>13</v>
      </c>
      <c r="C56" s="2" t="s">
        <v>108</v>
      </c>
      <c r="D56" s="2" t="s">
        <v>21</v>
      </c>
      <c r="E56" s="2" t="s">
        <v>101</v>
      </c>
      <c r="F56" s="2" t="s">
        <v>23</v>
      </c>
      <c r="G56" s="3">
        <v>2</v>
      </c>
      <c r="H56" s="3">
        <v>0</v>
      </c>
      <c r="I56" s="3">
        <v>2</v>
      </c>
      <c r="J56" s="3">
        <v>2</v>
      </c>
      <c r="K56" s="3">
        <f>AxTable1[[#This Row],[Deliver remainder]]-AxTable1[[#This Row],[TSI/CSATX260214NC-CAM-ETA 02/03/2026]]</f>
        <v>0</v>
      </c>
      <c r="L56" s="3" t="s">
        <v>201</v>
      </c>
      <c r="M56" s="4">
        <v>46094</v>
      </c>
      <c r="N56" s="4">
        <v>46085</v>
      </c>
      <c r="O56" s="2" t="s">
        <v>117</v>
      </c>
      <c r="P56" s="2" t="s">
        <v>42</v>
      </c>
    </row>
    <row r="57" spans="1:16" hidden="1" x14ac:dyDescent="0.25">
      <c r="A57" s="1">
        <v>46061.425324074102</v>
      </c>
      <c r="B57" s="2" t="s">
        <v>13</v>
      </c>
      <c r="C57" s="2" t="s">
        <v>114</v>
      </c>
      <c r="D57" s="2" t="s">
        <v>21</v>
      </c>
      <c r="E57" s="2" t="s">
        <v>67</v>
      </c>
      <c r="F57" s="2" t="s">
        <v>23</v>
      </c>
      <c r="G57" s="3">
        <v>328</v>
      </c>
      <c r="H57" s="3">
        <v>0</v>
      </c>
      <c r="I57" s="3">
        <v>328</v>
      </c>
      <c r="K57" s="3">
        <f>AxTable1[[#This Row],[Deliver remainder]]-AxTable1[[#This Row],[TSI/CSATX260214NC-CAM-ETA 02/03/2026]]</f>
        <v>328</v>
      </c>
      <c r="M57" s="4">
        <v>46094</v>
      </c>
      <c r="N57" s="4">
        <v>46106</v>
      </c>
      <c r="O57" s="2" t="s">
        <v>107</v>
      </c>
      <c r="P57" s="2" t="s">
        <v>25</v>
      </c>
    </row>
    <row r="58" spans="1:16" hidden="1" x14ac:dyDescent="0.25">
      <c r="A58" s="1">
        <v>46061.425983796304</v>
      </c>
      <c r="B58" s="2" t="s">
        <v>13</v>
      </c>
      <c r="C58" s="2" t="s">
        <v>114</v>
      </c>
      <c r="D58" s="2" t="s">
        <v>21</v>
      </c>
      <c r="E58" s="2" t="s">
        <v>115</v>
      </c>
      <c r="F58" s="2" t="s">
        <v>23</v>
      </c>
      <c r="G58" s="3">
        <v>1</v>
      </c>
      <c r="H58" s="3">
        <v>0</v>
      </c>
      <c r="I58" s="3">
        <v>1</v>
      </c>
      <c r="J58" s="3">
        <v>1</v>
      </c>
      <c r="K58" s="3">
        <f>AxTable1[[#This Row],[Deliver remainder]]-AxTable1[[#This Row],[TSI/CSATX260214NC-CAM-ETA 02/03/2026]]</f>
        <v>0</v>
      </c>
      <c r="L58" s="3" t="s">
        <v>201</v>
      </c>
      <c r="M58" s="4">
        <v>46094</v>
      </c>
      <c r="N58" s="4">
        <v>46085</v>
      </c>
      <c r="O58" s="2" t="s">
        <v>118</v>
      </c>
      <c r="P58" s="2" t="s">
        <v>42</v>
      </c>
    </row>
    <row r="59" spans="1:16" hidden="1" x14ac:dyDescent="0.25">
      <c r="A59" s="1">
        <v>46061.426087963002</v>
      </c>
      <c r="B59" s="2" t="s">
        <v>13</v>
      </c>
      <c r="C59" s="2" t="s">
        <v>114</v>
      </c>
      <c r="D59" s="2" t="s">
        <v>21</v>
      </c>
      <c r="E59" s="2" t="s">
        <v>44</v>
      </c>
      <c r="F59" s="2" t="s">
        <v>23</v>
      </c>
      <c r="G59" s="3">
        <v>15</v>
      </c>
      <c r="H59" s="3">
        <v>0</v>
      </c>
      <c r="I59" s="3">
        <v>15</v>
      </c>
      <c r="J59" s="3">
        <v>15</v>
      </c>
      <c r="K59" s="3">
        <f>AxTable1[[#This Row],[Deliver remainder]]-AxTable1[[#This Row],[TSI/CSATX260214NC-CAM-ETA 02/03/2026]]</f>
        <v>0</v>
      </c>
      <c r="L59" s="3" t="s">
        <v>201</v>
      </c>
      <c r="M59" s="4">
        <v>46094</v>
      </c>
      <c r="N59" s="4">
        <v>46085</v>
      </c>
      <c r="O59" s="2" t="s">
        <v>119</v>
      </c>
      <c r="P59" s="2" t="s">
        <v>42</v>
      </c>
    </row>
    <row r="60" spans="1:16" hidden="1" x14ac:dyDescent="0.25">
      <c r="A60" s="1">
        <v>46061.428541666697</v>
      </c>
      <c r="B60" s="2" t="s">
        <v>13</v>
      </c>
      <c r="C60" s="2" t="s">
        <v>120</v>
      </c>
      <c r="D60" s="2" t="s">
        <v>121</v>
      </c>
      <c r="E60" s="2" t="s">
        <v>74</v>
      </c>
      <c r="F60" s="2" t="s">
        <v>29</v>
      </c>
      <c r="G60" s="3">
        <v>293</v>
      </c>
      <c r="H60" s="3">
        <v>0</v>
      </c>
      <c r="I60" s="3">
        <v>293</v>
      </c>
      <c r="K60" s="3">
        <f>AxTable1[[#This Row],[Deliver remainder]]-AxTable1[[#This Row],[TSI/CSATX260214NC-CAM-ETA 02/03/2026]]</f>
        <v>293</v>
      </c>
      <c r="M60" s="4">
        <v>46094</v>
      </c>
      <c r="N60" s="4">
        <v>46106</v>
      </c>
      <c r="O60" s="2" t="s">
        <v>107</v>
      </c>
      <c r="P60" s="2" t="s">
        <v>25</v>
      </c>
    </row>
    <row r="61" spans="1:16" hidden="1" x14ac:dyDescent="0.25">
      <c r="A61" s="1">
        <v>46061.434490740699</v>
      </c>
      <c r="B61" s="2" t="s">
        <v>13</v>
      </c>
      <c r="C61" s="2" t="s">
        <v>122</v>
      </c>
      <c r="D61" s="2" t="s">
        <v>46</v>
      </c>
      <c r="E61" s="2" t="s">
        <v>74</v>
      </c>
      <c r="F61" s="2" t="s">
        <v>17</v>
      </c>
      <c r="G61" s="3">
        <v>620</v>
      </c>
      <c r="H61" s="3">
        <v>0</v>
      </c>
      <c r="I61" s="3">
        <v>620</v>
      </c>
      <c r="J61" s="3">
        <v>620</v>
      </c>
      <c r="K61" s="3">
        <f>AxTable1[[#This Row],[Deliver remainder]]-AxTable1[[#This Row],[TSI/CSATX260214NC-CAM-ETA 02/03/2026]]</f>
        <v>0</v>
      </c>
      <c r="L61" s="3" t="s">
        <v>201</v>
      </c>
      <c r="M61" s="4">
        <v>46094</v>
      </c>
      <c r="N61" s="4">
        <v>46085</v>
      </c>
      <c r="O61" s="2" t="s">
        <v>123</v>
      </c>
      <c r="P61" s="2" t="s">
        <v>25</v>
      </c>
    </row>
    <row r="62" spans="1:16" hidden="1" x14ac:dyDescent="0.25">
      <c r="A62" s="1">
        <v>46061.434513888897</v>
      </c>
      <c r="B62" s="2" t="s">
        <v>13</v>
      </c>
      <c r="C62" s="2" t="s">
        <v>122</v>
      </c>
      <c r="D62" s="2" t="s">
        <v>46</v>
      </c>
      <c r="E62" s="2" t="s">
        <v>124</v>
      </c>
      <c r="F62" s="2" t="s">
        <v>17</v>
      </c>
      <c r="G62" s="3">
        <v>196</v>
      </c>
      <c r="H62" s="3">
        <v>0</v>
      </c>
      <c r="I62" s="3">
        <v>196</v>
      </c>
      <c r="K62" s="3">
        <f>AxTable1[[#This Row],[Deliver remainder]]-AxTable1[[#This Row],[TSI/CSATX260214NC-CAM-ETA 02/03/2026]]</f>
        <v>196</v>
      </c>
      <c r="M62" s="4">
        <v>46094</v>
      </c>
      <c r="N62" s="4">
        <v>46106</v>
      </c>
      <c r="O62" s="2" t="s">
        <v>125</v>
      </c>
      <c r="P62" s="2" t="s">
        <v>25</v>
      </c>
    </row>
    <row r="63" spans="1:16" hidden="1" x14ac:dyDescent="0.25">
      <c r="A63" s="1">
        <v>46061.434571759302</v>
      </c>
      <c r="B63" s="2" t="s">
        <v>13</v>
      </c>
      <c r="C63" s="2" t="s">
        <v>122</v>
      </c>
      <c r="D63" s="2" t="s">
        <v>46</v>
      </c>
      <c r="E63" s="2" t="s">
        <v>126</v>
      </c>
      <c r="F63" s="2" t="s">
        <v>17</v>
      </c>
      <c r="G63" s="3">
        <v>735</v>
      </c>
      <c r="H63" s="3">
        <v>0</v>
      </c>
      <c r="I63" s="3">
        <v>735</v>
      </c>
      <c r="J63" s="3">
        <v>735</v>
      </c>
      <c r="K63" s="3">
        <f>AxTable1[[#This Row],[Deliver remainder]]-AxTable1[[#This Row],[TSI/CSATX260214NC-CAM-ETA 02/03/2026]]</f>
        <v>0</v>
      </c>
      <c r="L63" s="3" t="s">
        <v>201</v>
      </c>
      <c r="M63" s="4">
        <v>46094</v>
      </c>
      <c r="N63" s="4">
        <v>46085</v>
      </c>
      <c r="O63" s="2" t="s">
        <v>127</v>
      </c>
      <c r="P63" s="2" t="s">
        <v>25</v>
      </c>
    </row>
    <row r="64" spans="1:16" hidden="1" x14ac:dyDescent="0.25">
      <c r="A64" s="1">
        <v>46061.434606481504</v>
      </c>
      <c r="B64" s="2" t="s">
        <v>13</v>
      </c>
      <c r="C64" s="2" t="s">
        <v>122</v>
      </c>
      <c r="D64" s="2" t="s">
        <v>46</v>
      </c>
      <c r="E64" s="2" t="s">
        <v>128</v>
      </c>
      <c r="F64" s="2" t="s">
        <v>17</v>
      </c>
      <c r="G64" s="3">
        <v>187</v>
      </c>
      <c r="H64" s="3">
        <v>0</v>
      </c>
      <c r="I64" s="3">
        <v>187</v>
      </c>
      <c r="K64" s="3">
        <f>AxTable1[[#This Row],[Deliver remainder]]-AxTable1[[#This Row],[TSI/CSATX260214NC-CAM-ETA 02/03/2026]]</f>
        <v>187</v>
      </c>
      <c r="M64" s="4">
        <v>46094</v>
      </c>
      <c r="N64" s="4">
        <v>46106</v>
      </c>
      <c r="O64" s="2" t="s">
        <v>125</v>
      </c>
      <c r="P64" s="2" t="s">
        <v>25</v>
      </c>
    </row>
    <row r="65" spans="1:16" hidden="1" x14ac:dyDescent="0.25">
      <c r="A65" s="1">
        <v>46061.434641203698</v>
      </c>
      <c r="B65" s="2" t="s">
        <v>13</v>
      </c>
      <c r="C65" s="2" t="s">
        <v>122</v>
      </c>
      <c r="D65" s="2" t="s">
        <v>46</v>
      </c>
      <c r="E65" s="2" t="s">
        <v>47</v>
      </c>
      <c r="F65" s="2" t="s">
        <v>17</v>
      </c>
      <c r="G65" s="3">
        <v>512</v>
      </c>
      <c r="H65" s="3">
        <v>0</v>
      </c>
      <c r="I65" s="3">
        <v>512</v>
      </c>
      <c r="K65" s="3">
        <f>AxTable1[[#This Row],[Deliver remainder]]-AxTable1[[#This Row],[TSI/CSATX260214NC-CAM-ETA 02/03/2026]]</f>
        <v>512</v>
      </c>
      <c r="M65" s="4">
        <v>46094</v>
      </c>
      <c r="N65" s="4">
        <v>46106</v>
      </c>
      <c r="O65" s="2" t="s">
        <v>125</v>
      </c>
      <c r="P65" s="2" t="s">
        <v>25</v>
      </c>
    </row>
    <row r="66" spans="1:16" hidden="1" x14ac:dyDescent="0.25">
      <c r="A66" s="1">
        <v>46061.434675925899</v>
      </c>
      <c r="B66" s="2" t="s">
        <v>13</v>
      </c>
      <c r="C66" s="2" t="s">
        <v>122</v>
      </c>
      <c r="D66" s="2" t="s">
        <v>46</v>
      </c>
      <c r="E66" s="2" t="s">
        <v>93</v>
      </c>
      <c r="F66" s="2" t="s">
        <v>17</v>
      </c>
      <c r="G66" s="3">
        <v>476</v>
      </c>
      <c r="H66" s="3">
        <v>0</v>
      </c>
      <c r="I66" s="3">
        <v>476</v>
      </c>
      <c r="J66" s="3">
        <v>256</v>
      </c>
      <c r="K66" s="3">
        <f>AxTable1[[#This Row],[Deliver remainder]]-AxTable1[[#This Row],[TSI/CSATX260214NC-CAM-ETA 02/03/2026]]</f>
        <v>220</v>
      </c>
      <c r="M66" s="4">
        <v>46094</v>
      </c>
      <c r="N66" s="4">
        <v>46106</v>
      </c>
      <c r="O66" s="2" t="s">
        <v>129</v>
      </c>
      <c r="P66" s="2" t="s">
        <v>25</v>
      </c>
    </row>
    <row r="67" spans="1:16" hidden="1" x14ac:dyDescent="0.25">
      <c r="A67" s="1">
        <v>46061.434699074103</v>
      </c>
      <c r="B67" s="2" t="s">
        <v>13</v>
      </c>
      <c r="C67" s="2" t="s">
        <v>122</v>
      </c>
      <c r="D67" s="2" t="s">
        <v>46</v>
      </c>
      <c r="E67" s="2" t="s">
        <v>95</v>
      </c>
      <c r="F67" s="2" t="s">
        <v>17</v>
      </c>
      <c r="G67" s="3">
        <v>488</v>
      </c>
      <c r="H67" s="3">
        <v>0</v>
      </c>
      <c r="I67" s="3">
        <v>488</v>
      </c>
      <c r="K67" s="3">
        <f>AxTable1[[#This Row],[Deliver remainder]]-AxTable1[[#This Row],[TSI/CSATX260214NC-CAM-ETA 02/03/2026]]</f>
        <v>488</v>
      </c>
      <c r="M67" s="4">
        <v>46094</v>
      </c>
      <c r="N67" s="4">
        <v>46106</v>
      </c>
      <c r="O67" s="2" t="s">
        <v>125</v>
      </c>
      <c r="P67" s="2" t="s">
        <v>25</v>
      </c>
    </row>
    <row r="68" spans="1:16" hidden="1" x14ac:dyDescent="0.25">
      <c r="A68" s="1">
        <v>46061.434722222199</v>
      </c>
      <c r="B68" s="2" t="s">
        <v>13</v>
      </c>
      <c r="C68" s="2" t="s">
        <v>122</v>
      </c>
      <c r="D68" s="2" t="s">
        <v>46</v>
      </c>
      <c r="E68" s="2" t="s">
        <v>130</v>
      </c>
      <c r="F68" s="2" t="s">
        <v>17</v>
      </c>
      <c r="G68" s="3">
        <v>436</v>
      </c>
      <c r="H68" s="3">
        <v>0</v>
      </c>
      <c r="I68" s="3">
        <v>436</v>
      </c>
      <c r="K68" s="3">
        <f>AxTable1[[#This Row],[Deliver remainder]]-AxTable1[[#This Row],[TSI/CSATX260214NC-CAM-ETA 02/03/2026]]</f>
        <v>436</v>
      </c>
      <c r="M68" s="4">
        <v>46094</v>
      </c>
      <c r="N68" s="4">
        <v>46106</v>
      </c>
      <c r="O68" s="2" t="s">
        <v>125</v>
      </c>
      <c r="P68" s="2" t="s">
        <v>25</v>
      </c>
    </row>
    <row r="69" spans="1:16" hidden="1" x14ac:dyDescent="0.25">
      <c r="A69" s="1">
        <v>46061.434733796297</v>
      </c>
      <c r="B69" s="2" t="s">
        <v>13</v>
      </c>
      <c r="C69" s="2" t="s">
        <v>122</v>
      </c>
      <c r="D69" s="2" t="s">
        <v>46</v>
      </c>
      <c r="E69" s="2" t="s">
        <v>131</v>
      </c>
      <c r="F69" s="2" t="s">
        <v>17</v>
      </c>
      <c r="G69" s="3">
        <v>307</v>
      </c>
      <c r="H69" s="3">
        <v>0</v>
      </c>
      <c r="I69" s="3">
        <v>307</v>
      </c>
      <c r="K69" s="3">
        <f>AxTable1[[#This Row],[Deliver remainder]]-AxTable1[[#This Row],[TSI/CSATX260214NC-CAM-ETA 02/03/2026]]</f>
        <v>307</v>
      </c>
      <c r="M69" s="4">
        <v>46094</v>
      </c>
      <c r="N69" s="4">
        <v>46106</v>
      </c>
      <c r="O69" s="2" t="s">
        <v>125</v>
      </c>
      <c r="P69" s="2" t="s">
        <v>25</v>
      </c>
    </row>
    <row r="70" spans="1:16" hidden="1" x14ac:dyDescent="0.25">
      <c r="A70" s="1">
        <v>46061.4347569444</v>
      </c>
      <c r="B70" s="2" t="s">
        <v>13</v>
      </c>
      <c r="C70" s="2" t="s">
        <v>122</v>
      </c>
      <c r="D70" s="2" t="s">
        <v>46</v>
      </c>
      <c r="E70" s="2" t="s">
        <v>67</v>
      </c>
      <c r="F70" s="2" t="s">
        <v>17</v>
      </c>
      <c r="G70" s="3">
        <v>274</v>
      </c>
      <c r="H70" s="3">
        <v>0</v>
      </c>
      <c r="I70" s="3">
        <v>274</v>
      </c>
      <c r="K70" s="3">
        <f>AxTable1[[#This Row],[Deliver remainder]]-AxTable1[[#This Row],[TSI/CSATX260214NC-CAM-ETA 02/03/2026]]</f>
        <v>274</v>
      </c>
      <c r="M70" s="4">
        <v>46094</v>
      </c>
      <c r="N70" s="4">
        <v>46106</v>
      </c>
      <c r="O70" s="2" t="s">
        <v>125</v>
      </c>
      <c r="P70" s="2" t="s">
        <v>25</v>
      </c>
    </row>
    <row r="71" spans="1:16" hidden="1" x14ac:dyDescent="0.25">
      <c r="A71" s="1">
        <v>46061.437418981499</v>
      </c>
      <c r="B71" s="2" t="s">
        <v>13</v>
      </c>
      <c r="C71" s="2" t="s">
        <v>122</v>
      </c>
      <c r="D71" s="2" t="s">
        <v>46</v>
      </c>
      <c r="E71" s="2" t="s">
        <v>74</v>
      </c>
      <c r="F71" s="2" t="s">
        <v>17</v>
      </c>
      <c r="G71" s="3">
        <v>39</v>
      </c>
      <c r="H71" s="3">
        <v>0</v>
      </c>
      <c r="I71" s="3">
        <v>39</v>
      </c>
      <c r="J71" s="3">
        <v>39</v>
      </c>
      <c r="K71" s="3">
        <f>AxTable1[[#This Row],[Deliver remainder]]-AxTable1[[#This Row],[TSI/CSATX260214NC-CAM-ETA 02/03/2026]]</f>
        <v>0</v>
      </c>
      <c r="L71" s="3" t="s">
        <v>201</v>
      </c>
      <c r="M71" s="4">
        <v>46094</v>
      </c>
      <c r="N71" s="4">
        <v>46085</v>
      </c>
      <c r="O71" s="2" t="s">
        <v>117</v>
      </c>
      <c r="P71" s="2" t="s">
        <v>42</v>
      </c>
    </row>
    <row r="72" spans="1:16" hidden="1" x14ac:dyDescent="0.25">
      <c r="A72" s="1">
        <v>46061.437557870398</v>
      </c>
      <c r="B72" s="2" t="s">
        <v>13</v>
      </c>
      <c r="C72" s="2" t="s">
        <v>122</v>
      </c>
      <c r="D72" s="2" t="s">
        <v>46</v>
      </c>
      <c r="E72" s="2" t="s">
        <v>124</v>
      </c>
      <c r="F72" s="2" t="s">
        <v>17</v>
      </c>
      <c r="G72" s="3">
        <v>6</v>
      </c>
      <c r="H72" s="3">
        <v>0</v>
      </c>
      <c r="I72" s="3">
        <v>6</v>
      </c>
      <c r="K72" s="3">
        <f>AxTable1[[#This Row],[Deliver remainder]]-AxTable1[[#This Row],[TSI/CSATX260214NC-CAM-ETA 02/03/2026]]</f>
        <v>6</v>
      </c>
      <c r="M72" s="4">
        <v>46094</v>
      </c>
      <c r="N72" s="4">
        <v>46106</v>
      </c>
      <c r="O72" s="2" t="s">
        <v>98</v>
      </c>
      <c r="P72" s="2" t="s">
        <v>42</v>
      </c>
    </row>
    <row r="73" spans="1:16" hidden="1" x14ac:dyDescent="0.25">
      <c r="A73" s="1">
        <v>46061.4379050926</v>
      </c>
      <c r="B73" s="2" t="s">
        <v>13</v>
      </c>
      <c r="C73" s="2" t="s">
        <v>122</v>
      </c>
      <c r="D73" s="2" t="s">
        <v>46</v>
      </c>
      <c r="E73" s="2" t="s">
        <v>126</v>
      </c>
      <c r="F73" s="2" t="s">
        <v>17</v>
      </c>
      <c r="G73" s="3">
        <v>39</v>
      </c>
      <c r="H73" s="3">
        <v>0</v>
      </c>
      <c r="I73" s="3">
        <v>39</v>
      </c>
      <c r="J73" s="3">
        <v>39</v>
      </c>
      <c r="K73" s="3">
        <f>AxTable1[[#This Row],[Deliver remainder]]-AxTable1[[#This Row],[TSI/CSATX260214NC-CAM-ETA 02/03/2026]]</f>
        <v>0</v>
      </c>
      <c r="L73" s="3" t="s">
        <v>201</v>
      </c>
      <c r="M73" s="4">
        <v>46094</v>
      </c>
      <c r="N73" s="4">
        <v>46085</v>
      </c>
      <c r="O73" s="2" t="s">
        <v>132</v>
      </c>
      <c r="P73" s="2" t="s">
        <v>42</v>
      </c>
    </row>
    <row r="74" spans="1:16" hidden="1" x14ac:dyDescent="0.25">
      <c r="A74" s="1">
        <v>46061.438206018502</v>
      </c>
      <c r="B74" s="2" t="s">
        <v>13</v>
      </c>
      <c r="C74" s="2" t="s">
        <v>122</v>
      </c>
      <c r="D74" s="2" t="s">
        <v>46</v>
      </c>
      <c r="E74" s="2" t="s">
        <v>128</v>
      </c>
      <c r="F74" s="2" t="s">
        <v>17</v>
      </c>
      <c r="G74" s="3">
        <v>6</v>
      </c>
      <c r="H74" s="3">
        <v>0</v>
      </c>
      <c r="I74" s="3">
        <v>6</v>
      </c>
      <c r="K74" s="3">
        <f>AxTable1[[#This Row],[Deliver remainder]]-AxTable1[[#This Row],[TSI/CSATX260214NC-CAM-ETA 02/03/2026]]</f>
        <v>6</v>
      </c>
      <c r="M74" s="4">
        <v>46094</v>
      </c>
      <c r="N74" s="4">
        <v>46106</v>
      </c>
      <c r="O74" s="2" t="s">
        <v>98</v>
      </c>
      <c r="P74" s="2" t="s">
        <v>42</v>
      </c>
    </row>
    <row r="75" spans="1:16" hidden="1" x14ac:dyDescent="0.25">
      <c r="A75" s="1">
        <v>46061.438483796301</v>
      </c>
      <c r="B75" s="2" t="s">
        <v>13</v>
      </c>
      <c r="C75" s="2" t="s">
        <v>122</v>
      </c>
      <c r="D75" s="2" t="s">
        <v>46</v>
      </c>
      <c r="E75" s="2" t="s">
        <v>47</v>
      </c>
      <c r="F75" s="2" t="s">
        <v>17</v>
      </c>
      <c r="G75" s="3">
        <v>18</v>
      </c>
      <c r="H75" s="3">
        <v>0</v>
      </c>
      <c r="I75" s="3">
        <v>18</v>
      </c>
      <c r="K75" s="3">
        <f>AxTable1[[#This Row],[Deliver remainder]]-AxTable1[[#This Row],[TSI/CSATX260214NC-CAM-ETA 02/03/2026]]</f>
        <v>18</v>
      </c>
      <c r="M75" s="4">
        <v>46094</v>
      </c>
      <c r="N75" s="4">
        <v>46106</v>
      </c>
      <c r="O75" s="2" t="s">
        <v>98</v>
      </c>
      <c r="P75" s="2" t="s">
        <v>42</v>
      </c>
    </row>
    <row r="76" spans="1:16" hidden="1" x14ac:dyDescent="0.25">
      <c r="A76" s="1">
        <v>46061.4387152778</v>
      </c>
      <c r="B76" s="2" t="s">
        <v>13</v>
      </c>
      <c r="C76" s="2" t="s">
        <v>122</v>
      </c>
      <c r="D76" s="2" t="s">
        <v>46</v>
      </c>
      <c r="E76" s="2" t="s">
        <v>93</v>
      </c>
      <c r="F76" s="2" t="s">
        <v>17</v>
      </c>
      <c r="G76" s="3">
        <v>6</v>
      </c>
      <c r="H76" s="3">
        <v>0</v>
      </c>
      <c r="I76" s="3">
        <v>6</v>
      </c>
      <c r="K76" s="3">
        <f>AxTable1[[#This Row],[Deliver remainder]]-AxTable1[[#This Row],[TSI/CSATX260214NC-CAM-ETA 02/03/2026]]</f>
        <v>6</v>
      </c>
      <c r="M76" s="4">
        <v>46094</v>
      </c>
      <c r="N76" s="4">
        <v>46106</v>
      </c>
      <c r="O76" s="2" t="s">
        <v>98</v>
      </c>
      <c r="P76" s="2" t="s">
        <v>42</v>
      </c>
    </row>
    <row r="77" spans="1:16" hidden="1" x14ac:dyDescent="0.25">
      <c r="A77" s="1">
        <v>46061.439016203702</v>
      </c>
      <c r="B77" s="2" t="s">
        <v>13</v>
      </c>
      <c r="C77" s="2" t="s">
        <v>122</v>
      </c>
      <c r="D77" s="2" t="s">
        <v>46</v>
      </c>
      <c r="E77" s="2" t="s">
        <v>95</v>
      </c>
      <c r="F77" s="2" t="s">
        <v>17</v>
      </c>
      <c r="G77" s="3">
        <v>1</v>
      </c>
      <c r="H77" s="3">
        <v>0</v>
      </c>
      <c r="I77" s="3">
        <v>1</v>
      </c>
      <c r="K77" s="3">
        <f>AxTable1[[#This Row],[Deliver remainder]]-AxTable1[[#This Row],[TSI/CSATX260214NC-CAM-ETA 02/03/2026]]</f>
        <v>1</v>
      </c>
      <c r="M77" s="4">
        <v>46094</v>
      </c>
      <c r="N77" s="4">
        <v>46106</v>
      </c>
      <c r="O77" s="2" t="s">
        <v>98</v>
      </c>
      <c r="P77" s="2" t="s">
        <v>42</v>
      </c>
    </row>
    <row r="78" spans="1:16" hidden="1" x14ac:dyDescent="0.25">
      <c r="A78" s="1">
        <v>46061.439328703702</v>
      </c>
      <c r="B78" s="2" t="s">
        <v>13</v>
      </c>
      <c r="C78" s="2" t="s">
        <v>122</v>
      </c>
      <c r="D78" s="2" t="s">
        <v>46</v>
      </c>
      <c r="E78" s="2" t="s">
        <v>130</v>
      </c>
      <c r="F78" s="2" t="s">
        <v>17</v>
      </c>
      <c r="G78" s="3">
        <v>21</v>
      </c>
      <c r="H78" s="3">
        <v>0</v>
      </c>
      <c r="I78" s="3">
        <v>21</v>
      </c>
      <c r="K78" s="3">
        <f>AxTable1[[#This Row],[Deliver remainder]]-AxTable1[[#This Row],[TSI/CSATX260214NC-CAM-ETA 02/03/2026]]</f>
        <v>21</v>
      </c>
      <c r="M78" s="4">
        <v>46094</v>
      </c>
      <c r="N78" s="4">
        <v>46106</v>
      </c>
      <c r="O78" s="2" t="s">
        <v>98</v>
      </c>
      <c r="P78" s="2" t="s">
        <v>42</v>
      </c>
    </row>
    <row r="79" spans="1:16" hidden="1" x14ac:dyDescent="0.25">
      <c r="A79" s="1">
        <v>46061.4394791667</v>
      </c>
      <c r="B79" s="2" t="s">
        <v>13</v>
      </c>
      <c r="C79" s="2" t="s">
        <v>122</v>
      </c>
      <c r="D79" s="2" t="s">
        <v>46</v>
      </c>
      <c r="E79" s="2" t="s">
        <v>131</v>
      </c>
      <c r="F79" s="2" t="s">
        <v>17</v>
      </c>
      <c r="G79" s="3">
        <v>16</v>
      </c>
      <c r="H79" s="3">
        <v>0</v>
      </c>
      <c r="I79" s="3">
        <v>16</v>
      </c>
      <c r="K79" s="3">
        <f>AxTable1[[#This Row],[Deliver remainder]]-AxTable1[[#This Row],[TSI/CSATX260214NC-CAM-ETA 02/03/2026]]</f>
        <v>16</v>
      </c>
      <c r="M79" s="4">
        <v>46094</v>
      </c>
      <c r="N79" s="4">
        <v>46106</v>
      </c>
      <c r="O79" s="2" t="s">
        <v>98</v>
      </c>
      <c r="P79" s="2" t="s">
        <v>42</v>
      </c>
    </row>
    <row r="80" spans="1:16" hidden="1" x14ac:dyDescent="0.25">
      <c r="A80" s="1">
        <v>46061.439722222203</v>
      </c>
      <c r="B80" s="2" t="s">
        <v>13</v>
      </c>
      <c r="C80" s="2" t="s">
        <v>122</v>
      </c>
      <c r="D80" s="2" t="s">
        <v>46</v>
      </c>
      <c r="E80" s="2" t="s">
        <v>67</v>
      </c>
      <c r="F80" s="2" t="s">
        <v>17</v>
      </c>
      <c r="G80" s="3">
        <v>14</v>
      </c>
      <c r="H80" s="3">
        <v>0</v>
      </c>
      <c r="I80" s="3">
        <v>14</v>
      </c>
      <c r="K80" s="3">
        <f>AxTable1[[#This Row],[Deliver remainder]]-AxTable1[[#This Row],[TSI/CSATX260214NC-CAM-ETA 02/03/2026]]</f>
        <v>14</v>
      </c>
      <c r="M80" s="4">
        <v>46094</v>
      </c>
      <c r="N80" s="4">
        <v>46106</v>
      </c>
      <c r="O80" s="2" t="s">
        <v>98</v>
      </c>
      <c r="P80" s="2" t="s">
        <v>42</v>
      </c>
    </row>
    <row r="81" spans="1:16" hidden="1" x14ac:dyDescent="0.25">
      <c r="A81" s="1">
        <v>46061.442210648202</v>
      </c>
      <c r="B81" s="2" t="s">
        <v>13</v>
      </c>
      <c r="C81" s="2" t="s">
        <v>133</v>
      </c>
      <c r="D81" s="2" t="s">
        <v>134</v>
      </c>
      <c r="E81" s="2" t="s">
        <v>74</v>
      </c>
      <c r="F81" s="2" t="s">
        <v>17</v>
      </c>
      <c r="G81" s="3">
        <v>2168</v>
      </c>
      <c r="H81" s="3">
        <v>0</v>
      </c>
      <c r="I81" s="3">
        <v>2168</v>
      </c>
      <c r="K81" s="3">
        <f>AxTable1[[#This Row],[Deliver remainder]]-AxTable1[[#This Row],[TSI/CSATX260214NC-CAM-ETA 02/03/2026]]</f>
        <v>2168</v>
      </c>
      <c r="M81" s="4">
        <v>46094</v>
      </c>
      <c r="N81" s="4">
        <v>46106</v>
      </c>
      <c r="O81" s="2" t="s">
        <v>125</v>
      </c>
      <c r="P81" s="2" t="s">
        <v>25</v>
      </c>
    </row>
    <row r="82" spans="1:16" hidden="1" x14ac:dyDescent="0.25">
      <c r="A82" s="1">
        <v>46061.442916666703</v>
      </c>
      <c r="B82" s="2" t="s">
        <v>13</v>
      </c>
      <c r="C82" s="2" t="s">
        <v>133</v>
      </c>
      <c r="D82" s="2" t="s">
        <v>134</v>
      </c>
      <c r="E82" s="2" t="s">
        <v>74</v>
      </c>
      <c r="F82" s="2" t="s">
        <v>17</v>
      </c>
      <c r="G82" s="3">
        <v>8</v>
      </c>
      <c r="H82" s="3">
        <v>0</v>
      </c>
      <c r="I82" s="3">
        <v>8</v>
      </c>
      <c r="K82" s="3">
        <f>AxTable1[[#This Row],[Deliver remainder]]-AxTable1[[#This Row],[TSI/CSATX260214NC-CAM-ETA 02/03/2026]]</f>
        <v>8</v>
      </c>
      <c r="M82" s="4">
        <v>46094</v>
      </c>
      <c r="N82" s="4">
        <v>46106</v>
      </c>
      <c r="O82" s="2" t="s">
        <v>98</v>
      </c>
      <c r="P82" s="2" t="s">
        <v>42</v>
      </c>
    </row>
    <row r="83" spans="1:16" hidden="1" x14ac:dyDescent="0.25">
      <c r="A83" s="1">
        <v>46061.444710648102</v>
      </c>
      <c r="B83" s="2" t="s">
        <v>13</v>
      </c>
      <c r="C83" s="2" t="s">
        <v>135</v>
      </c>
      <c r="D83" s="2" t="s">
        <v>136</v>
      </c>
      <c r="E83" s="2" t="s">
        <v>74</v>
      </c>
      <c r="F83" s="2" t="s">
        <v>137</v>
      </c>
      <c r="G83" s="3">
        <v>302</v>
      </c>
      <c r="H83" s="3">
        <v>0</v>
      </c>
      <c r="I83" s="3">
        <v>302</v>
      </c>
      <c r="K83" s="3">
        <f>AxTable1[[#This Row],[Deliver remainder]]-AxTable1[[#This Row],[TSI/CSATX260214NC-CAM-ETA 02/03/2026]]</f>
        <v>302</v>
      </c>
      <c r="M83" s="4">
        <v>46104</v>
      </c>
      <c r="N83" s="4">
        <v>46113</v>
      </c>
      <c r="O83" s="2" t="s">
        <v>125</v>
      </c>
      <c r="P83" s="2" t="s">
        <v>25</v>
      </c>
    </row>
    <row r="84" spans="1:16" hidden="1" x14ac:dyDescent="0.25">
      <c r="A84" s="1">
        <v>46061.449259259301</v>
      </c>
      <c r="B84" s="2" t="s">
        <v>13</v>
      </c>
      <c r="C84" s="2" t="s">
        <v>138</v>
      </c>
      <c r="D84" s="2" t="s">
        <v>85</v>
      </c>
      <c r="E84" s="2" t="s">
        <v>65</v>
      </c>
      <c r="F84" s="2" t="s">
        <v>86</v>
      </c>
      <c r="G84" s="3">
        <v>351</v>
      </c>
      <c r="H84" s="3">
        <v>0</v>
      </c>
      <c r="I84" s="3">
        <v>351</v>
      </c>
      <c r="J84" s="3">
        <v>351</v>
      </c>
      <c r="K84" s="3">
        <f>AxTable1[[#This Row],[Deliver remainder]]-AxTable1[[#This Row],[TSI/CSATX260214NC-CAM-ETA 02/03/2026]]</f>
        <v>0</v>
      </c>
      <c r="L84" s="3" t="s">
        <v>201</v>
      </c>
      <c r="M84" s="4">
        <v>46094</v>
      </c>
      <c r="N84" s="4">
        <v>46085</v>
      </c>
      <c r="O84" s="2" t="s">
        <v>123</v>
      </c>
      <c r="P84" s="2" t="s">
        <v>25</v>
      </c>
    </row>
    <row r="85" spans="1:16" hidden="1" x14ac:dyDescent="0.25">
      <c r="A85" s="1">
        <v>46061.449282407397</v>
      </c>
      <c r="B85" s="2" t="s">
        <v>13</v>
      </c>
      <c r="C85" s="2" t="s">
        <v>138</v>
      </c>
      <c r="D85" s="2" t="s">
        <v>85</v>
      </c>
      <c r="E85" s="2" t="s">
        <v>44</v>
      </c>
      <c r="F85" s="2" t="s">
        <v>86</v>
      </c>
      <c r="G85" s="3">
        <v>712</v>
      </c>
      <c r="H85" s="3">
        <v>0</v>
      </c>
      <c r="I85" s="3">
        <v>712</v>
      </c>
      <c r="J85" s="3">
        <v>712</v>
      </c>
      <c r="K85" s="3">
        <f>AxTable1[[#This Row],[Deliver remainder]]-AxTable1[[#This Row],[TSI/CSATX260214NC-CAM-ETA 02/03/2026]]</f>
        <v>0</v>
      </c>
      <c r="L85" s="3" t="s">
        <v>201</v>
      </c>
      <c r="M85" s="4">
        <v>46094</v>
      </c>
      <c r="N85" s="4">
        <v>46085</v>
      </c>
      <c r="O85" s="2" t="s">
        <v>139</v>
      </c>
      <c r="P85" s="2" t="s">
        <v>25</v>
      </c>
    </row>
    <row r="86" spans="1:16" hidden="1" x14ac:dyDescent="0.25">
      <c r="A86" s="1">
        <v>46061.4515509259</v>
      </c>
      <c r="B86" s="2" t="s">
        <v>13</v>
      </c>
      <c r="C86" s="2" t="s">
        <v>138</v>
      </c>
      <c r="D86" s="2" t="s">
        <v>85</v>
      </c>
      <c r="E86" s="2" t="s">
        <v>65</v>
      </c>
      <c r="F86" s="2" t="s">
        <v>86</v>
      </c>
      <c r="G86" s="3">
        <v>2</v>
      </c>
      <c r="H86" s="3">
        <v>0</v>
      </c>
      <c r="I86" s="3">
        <v>2</v>
      </c>
      <c r="J86" s="3">
        <v>2</v>
      </c>
      <c r="K86" s="3">
        <f>AxTable1[[#This Row],[Deliver remainder]]-AxTable1[[#This Row],[TSI/CSATX260214NC-CAM-ETA 02/03/2026]]</f>
        <v>0</v>
      </c>
      <c r="L86" s="3" t="s">
        <v>201</v>
      </c>
      <c r="M86" s="4">
        <v>46094</v>
      </c>
      <c r="N86" s="4">
        <v>46085</v>
      </c>
      <c r="O86" s="2" t="s">
        <v>117</v>
      </c>
      <c r="P86" s="2" t="s">
        <v>42</v>
      </c>
    </row>
    <row r="87" spans="1:16" hidden="1" x14ac:dyDescent="0.25">
      <c r="A87" s="1">
        <v>46061.451840277798</v>
      </c>
      <c r="B87" s="2" t="s">
        <v>13</v>
      </c>
      <c r="C87" s="2" t="s">
        <v>138</v>
      </c>
      <c r="D87" s="2" t="s">
        <v>85</v>
      </c>
      <c r="E87" s="2" t="s">
        <v>44</v>
      </c>
      <c r="F87" s="2" t="s">
        <v>86</v>
      </c>
      <c r="G87" s="3">
        <v>1</v>
      </c>
      <c r="H87" s="3">
        <v>0</v>
      </c>
      <c r="I87" s="3">
        <v>1</v>
      </c>
      <c r="J87" s="3">
        <v>1</v>
      </c>
      <c r="K87" s="3">
        <f>AxTable1[[#This Row],[Deliver remainder]]-AxTable1[[#This Row],[TSI/CSATX260214NC-CAM-ETA 02/03/2026]]</f>
        <v>0</v>
      </c>
      <c r="L87" s="3" t="s">
        <v>201</v>
      </c>
      <c r="M87" s="4">
        <v>46094</v>
      </c>
      <c r="N87" s="4">
        <v>46085</v>
      </c>
      <c r="O87" s="2" t="s">
        <v>117</v>
      </c>
      <c r="P87" s="2" t="s">
        <v>42</v>
      </c>
    </row>
    <row r="88" spans="1:16" hidden="1" x14ac:dyDescent="0.25">
      <c r="A88" s="1">
        <v>46061.452662037002</v>
      </c>
      <c r="B88" s="2" t="s">
        <v>13</v>
      </c>
      <c r="C88" s="2" t="s">
        <v>140</v>
      </c>
      <c r="D88" s="2" t="s">
        <v>52</v>
      </c>
      <c r="E88" s="2" t="s">
        <v>53</v>
      </c>
      <c r="F88" s="2" t="s">
        <v>23</v>
      </c>
      <c r="G88" s="3">
        <v>18534</v>
      </c>
      <c r="H88" s="3">
        <v>0</v>
      </c>
      <c r="I88" s="3">
        <v>18534</v>
      </c>
      <c r="K88" s="3">
        <f>AxTable1[[#This Row],[Deliver remainder]]-AxTable1[[#This Row],[TSI/CSATX260214NC-CAM-ETA 02/03/2026]]</f>
        <v>18534</v>
      </c>
      <c r="M88" s="4">
        <v>46114</v>
      </c>
      <c r="N88" s="4">
        <v>46127</v>
      </c>
      <c r="O88" s="2" t="s">
        <v>141</v>
      </c>
      <c r="P88" s="2" t="s">
        <v>25</v>
      </c>
    </row>
    <row r="89" spans="1:16" hidden="1" x14ac:dyDescent="0.25">
      <c r="A89" s="1">
        <v>46061.4538425926</v>
      </c>
      <c r="B89" s="2" t="s">
        <v>13</v>
      </c>
      <c r="C89" s="2" t="s">
        <v>140</v>
      </c>
      <c r="D89" s="2" t="s">
        <v>52</v>
      </c>
      <c r="E89" s="2" t="s">
        <v>53</v>
      </c>
      <c r="F89" s="2" t="s">
        <v>23</v>
      </c>
      <c r="G89" s="3">
        <v>23</v>
      </c>
      <c r="H89" s="3">
        <v>0</v>
      </c>
      <c r="I89" s="3">
        <v>23</v>
      </c>
      <c r="K89" s="3">
        <f>AxTable1[[#This Row],[Deliver remainder]]-AxTable1[[#This Row],[TSI/CSATX260214NC-CAM-ETA 02/03/2026]]</f>
        <v>23</v>
      </c>
      <c r="M89" s="4">
        <v>46114</v>
      </c>
      <c r="N89" s="4">
        <v>46127</v>
      </c>
      <c r="O89" s="2" t="s">
        <v>98</v>
      </c>
      <c r="P89" s="2" t="s">
        <v>42</v>
      </c>
    </row>
    <row r="90" spans="1:16" hidden="1" x14ac:dyDescent="0.25">
      <c r="A90" s="1">
        <v>46061.455891203703</v>
      </c>
      <c r="B90" s="2" t="s">
        <v>13</v>
      </c>
      <c r="C90" s="2" t="s">
        <v>142</v>
      </c>
      <c r="D90" s="2" t="s">
        <v>39</v>
      </c>
      <c r="E90" s="2" t="s">
        <v>40</v>
      </c>
      <c r="F90" s="2" t="s">
        <v>41</v>
      </c>
      <c r="G90" s="3">
        <v>9717</v>
      </c>
      <c r="H90" s="3">
        <v>0</v>
      </c>
      <c r="I90" s="3">
        <v>9717</v>
      </c>
      <c r="K90" s="3">
        <f>AxTable1[[#This Row],[Deliver remainder]]-AxTable1[[#This Row],[TSI/CSATX260214NC-CAM-ETA 02/03/2026]]</f>
        <v>9717</v>
      </c>
      <c r="M90" s="4">
        <v>46104</v>
      </c>
      <c r="N90" s="4">
        <v>46113</v>
      </c>
      <c r="O90" s="2" t="s">
        <v>143</v>
      </c>
      <c r="P90" s="2" t="s">
        <v>25</v>
      </c>
    </row>
    <row r="91" spans="1:16" hidden="1" x14ac:dyDescent="0.25">
      <c r="A91" s="1">
        <v>46061.527256944399</v>
      </c>
      <c r="B91" s="2" t="s">
        <v>13</v>
      </c>
      <c r="C91" s="2" t="s">
        <v>144</v>
      </c>
      <c r="D91" s="2" t="s">
        <v>85</v>
      </c>
      <c r="E91" s="2" t="s">
        <v>74</v>
      </c>
      <c r="F91" s="2" t="s">
        <v>86</v>
      </c>
      <c r="G91" s="3">
        <v>2117</v>
      </c>
      <c r="H91" s="3">
        <v>0</v>
      </c>
      <c r="I91" s="3">
        <v>2117</v>
      </c>
      <c r="K91" s="3">
        <f>AxTable1[[#This Row],[Deliver remainder]]-AxTable1[[#This Row],[TSI/CSATX260214NC-CAM-ETA 02/03/2026]]</f>
        <v>2117</v>
      </c>
      <c r="M91" s="4">
        <v>46094</v>
      </c>
      <c r="N91" s="4">
        <v>46106</v>
      </c>
      <c r="O91" s="2" t="s">
        <v>145</v>
      </c>
      <c r="P91" s="2" t="s">
        <v>25</v>
      </c>
    </row>
    <row r="92" spans="1:16" hidden="1" x14ac:dyDescent="0.25">
      <c r="A92" s="1">
        <v>46061.527546296304</v>
      </c>
      <c r="B92" s="2" t="s">
        <v>13</v>
      </c>
      <c r="C92" s="2" t="s">
        <v>144</v>
      </c>
      <c r="D92" s="2" t="s">
        <v>85</v>
      </c>
      <c r="E92" s="2" t="s">
        <v>74</v>
      </c>
      <c r="F92" s="2" t="s">
        <v>86</v>
      </c>
      <c r="G92" s="3">
        <v>6</v>
      </c>
      <c r="H92" s="3">
        <v>0</v>
      </c>
      <c r="I92" s="3">
        <v>6</v>
      </c>
      <c r="K92" s="3">
        <f>AxTable1[[#This Row],[Deliver remainder]]-AxTable1[[#This Row],[TSI/CSATX260214NC-CAM-ETA 02/03/2026]]</f>
        <v>6</v>
      </c>
      <c r="M92" s="4">
        <v>46094</v>
      </c>
      <c r="N92" s="4">
        <v>46106</v>
      </c>
      <c r="O92" s="2" t="s">
        <v>98</v>
      </c>
      <c r="P92" s="2" t="s">
        <v>42</v>
      </c>
    </row>
    <row r="93" spans="1:16" hidden="1" x14ac:dyDescent="0.25">
      <c r="A93" s="1">
        <v>46061.613842592596</v>
      </c>
      <c r="B93" s="2" t="s">
        <v>13</v>
      </c>
      <c r="C93" s="2" t="s">
        <v>146</v>
      </c>
      <c r="D93" s="2" t="s">
        <v>27</v>
      </c>
      <c r="E93" s="2" t="s">
        <v>147</v>
      </c>
      <c r="F93" s="2" t="s">
        <v>29</v>
      </c>
      <c r="G93" s="3">
        <v>8</v>
      </c>
      <c r="H93" s="3">
        <v>0</v>
      </c>
      <c r="I93" s="3">
        <v>8</v>
      </c>
      <c r="J93" s="3">
        <v>8</v>
      </c>
      <c r="K93" s="3">
        <f>AxTable1[[#This Row],[Deliver remainder]]-AxTable1[[#This Row],[TSI/CSATX260214NC-CAM-ETA 02/03/2026]]</f>
        <v>0</v>
      </c>
      <c r="L93" s="3" t="s">
        <v>201</v>
      </c>
      <c r="M93" s="4">
        <v>46083</v>
      </c>
      <c r="N93" s="4">
        <v>46085</v>
      </c>
      <c r="O93" s="2" t="s">
        <v>148</v>
      </c>
      <c r="P93" s="2" t="s">
        <v>19</v>
      </c>
    </row>
    <row r="94" spans="1:16" hidden="1" x14ac:dyDescent="0.25">
      <c r="A94" s="1">
        <v>46061.613854166702</v>
      </c>
      <c r="B94" s="2" t="s">
        <v>13</v>
      </c>
      <c r="C94" s="2" t="s">
        <v>146</v>
      </c>
      <c r="D94" s="2" t="s">
        <v>27</v>
      </c>
      <c r="E94" s="2" t="s">
        <v>149</v>
      </c>
      <c r="F94" s="2" t="s">
        <v>29</v>
      </c>
      <c r="G94" s="3">
        <v>8</v>
      </c>
      <c r="H94" s="3">
        <v>0</v>
      </c>
      <c r="I94" s="3">
        <v>8</v>
      </c>
      <c r="J94" s="3">
        <v>8</v>
      </c>
      <c r="K94" s="3">
        <f>AxTable1[[#This Row],[Deliver remainder]]-AxTable1[[#This Row],[TSI/CSATX260214NC-CAM-ETA 02/03/2026]]</f>
        <v>0</v>
      </c>
      <c r="L94" s="3" t="s">
        <v>201</v>
      </c>
      <c r="M94" s="4">
        <v>46083</v>
      </c>
      <c r="N94" s="4">
        <v>46085</v>
      </c>
      <c r="O94" s="2" t="s">
        <v>150</v>
      </c>
      <c r="P94" s="2" t="s">
        <v>19</v>
      </c>
    </row>
    <row r="95" spans="1:16" hidden="1" x14ac:dyDescent="0.25">
      <c r="A95" s="1">
        <v>46061.614421296297</v>
      </c>
      <c r="B95" s="2" t="s">
        <v>13</v>
      </c>
      <c r="C95" s="2" t="s">
        <v>151</v>
      </c>
      <c r="D95" s="2" t="s">
        <v>21</v>
      </c>
      <c r="E95" s="2" t="s">
        <v>147</v>
      </c>
      <c r="F95" s="2" t="s">
        <v>23</v>
      </c>
      <c r="G95" s="3">
        <v>5</v>
      </c>
      <c r="H95" s="3">
        <v>0</v>
      </c>
      <c r="I95" s="3">
        <v>5</v>
      </c>
      <c r="K95" s="3">
        <f>AxTable1[[#This Row],[Deliver remainder]]-AxTable1[[#This Row],[TSI/CSATX260214NC-CAM-ETA 02/03/2026]]</f>
        <v>5</v>
      </c>
      <c r="M95" s="4">
        <v>46083</v>
      </c>
      <c r="N95" s="4">
        <v>46091</v>
      </c>
      <c r="O95" s="2" t="s">
        <v>152</v>
      </c>
      <c r="P95" s="2" t="s">
        <v>19</v>
      </c>
    </row>
    <row r="96" spans="1:16" hidden="1" x14ac:dyDescent="0.25">
      <c r="A96" s="1">
        <v>46061.614432870403</v>
      </c>
      <c r="B96" s="2" t="s">
        <v>13</v>
      </c>
      <c r="C96" s="2" t="s">
        <v>151</v>
      </c>
      <c r="D96" s="2" t="s">
        <v>21</v>
      </c>
      <c r="E96" s="2" t="s">
        <v>153</v>
      </c>
      <c r="F96" s="2" t="s">
        <v>23</v>
      </c>
      <c r="G96" s="3">
        <v>5</v>
      </c>
      <c r="H96" s="3">
        <v>0</v>
      </c>
      <c r="I96" s="3">
        <v>5</v>
      </c>
      <c r="K96" s="3">
        <f>AxTable1[[#This Row],[Deliver remainder]]-AxTable1[[#This Row],[TSI/CSATX260214NC-CAM-ETA 02/03/2026]]</f>
        <v>5</v>
      </c>
      <c r="M96" s="4">
        <v>46083</v>
      </c>
      <c r="N96" s="4">
        <v>46091</v>
      </c>
      <c r="O96" s="2" t="s">
        <v>152</v>
      </c>
      <c r="P96" s="2" t="s">
        <v>19</v>
      </c>
    </row>
    <row r="97" spans="1:16" hidden="1" x14ac:dyDescent="0.25">
      <c r="A97" s="1">
        <v>46061.615011574097</v>
      </c>
      <c r="B97" s="2" t="s">
        <v>13</v>
      </c>
      <c r="C97" s="2" t="s">
        <v>154</v>
      </c>
      <c r="D97" s="2" t="s">
        <v>46</v>
      </c>
      <c r="E97" s="2" t="s">
        <v>124</v>
      </c>
      <c r="F97" s="2" t="s">
        <v>17</v>
      </c>
      <c r="G97" s="3">
        <v>5</v>
      </c>
      <c r="H97" s="3">
        <v>0</v>
      </c>
      <c r="I97" s="3">
        <v>5</v>
      </c>
      <c r="J97" s="3">
        <v>5</v>
      </c>
      <c r="K97" s="3">
        <f>AxTable1[[#This Row],[Deliver remainder]]-AxTable1[[#This Row],[TSI/CSATX260214NC-CAM-ETA 02/03/2026]]</f>
        <v>0</v>
      </c>
      <c r="L97" s="3" t="s">
        <v>201</v>
      </c>
      <c r="M97" s="4">
        <v>46083</v>
      </c>
      <c r="N97" s="4">
        <v>46085</v>
      </c>
      <c r="O97" s="2" t="s">
        <v>155</v>
      </c>
      <c r="P97" s="2" t="s">
        <v>19</v>
      </c>
    </row>
    <row r="98" spans="1:16" hidden="1" x14ac:dyDescent="0.25">
      <c r="A98" s="1">
        <v>46061.615023148202</v>
      </c>
      <c r="B98" s="2" t="s">
        <v>13</v>
      </c>
      <c r="C98" s="2" t="s">
        <v>154</v>
      </c>
      <c r="D98" s="2" t="s">
        <v>46</v>
      </c>
      <c r="E98" s="2" t="s">
        <v>74</v>
      </c>
      <c r="F98" s="2" t="s">
        <v>17</v>
      </c>
      <c r="G98" s="3">
        <v>5</v>
      </c>
      <c r="H98" s="3">
        <v>0</v>
      </c>
      <c r="I98" s="3">
        <v>5</v>
      </c>
      <c r="J98" s="3">
        <v>6</v>
      </c>
      <c r="K98" s="3">
        <f>AxTable1[[#This Row],[Deliver remainder]]-AxTable1[[#This Row],[TSI/CSATX260214NC-CAM-ETA 02/03/2026]]</f>
        <v>-1</v>
      </c>
      <c r="L98" s="3" t="s">
        <v>201</v>
      </c>
      <c r="M98" s="4">
        <v>46083</v>
      </c>
      <c r="N98" s="4">
        <v>46085</v>
      </c>
      <c r="O98" s="2" t="s">
        <v>156</v>
      </c>
      <c r="P98" s="2" t="s">
        <v>19</v>
      </c>
    </row>
    <row r="99" spans="1:16" hidden="1" x14ac:dyDescent="0.25">
      <c r="A99" s="1">
        <v>46061.615023148202</v>
      </c>
      <c r="B99" s="2" t="s">
        <v>13</v>
      </c>
      <c r="C99" s="2" t="s">
        <v>154</v>
      </c>
      <c r="D99" s="2" t="s">
        <v>46</v>
      </c>
      <c r="E99" s="2" t="s">
        <v>47</v>
      </c>
      <c r="F99" s="2" t="s">
        <v>17</v>
      </c>
      <c r="G99" s="3">
        <v>5</v>
      </c>
      <c r="H99" s="3">
        <v>0</v>
      </c>
      <c r="I99" s="3">
        <v>5</v>
      </c>
      <c r="J99" s="3">
        <v>5</v>
      </c>
      <c r="K99" s="3">
        <f>AxTable1[[#This Row],[Deliver remainder]]-AxTable1[[#This Row],[TSI/CSATX260214NC-CAM-ETA 02/03/2026]]</f>
        <v>0</v>
      </c>
      <c r="L99" s="3" t="s">
        <v>201</v>
      </c>
      <c r="M99" s="4">
        <v>46083</v>
      </c>
      <c r="N99" s="4">
        <v>46085</v>
      </c>
      <c r="O99" s="2" t="s">
        <v>156</v>
      </c>
      <c r="P99" s="2" t="s">
        <v>19</v>
      </c>
    </row>
    <row r="100" spans="1:16" hidden="1" x14ac:dyDescent="0.25">
      <c r="A100" s="1">
        <v>46063.445497685199</v>
      </c>
      <c r="B100" s="2" t="s">
        <v>13</v>
      </c>
      <c r="C100" s="2" t="s">
        <v>88</v>
      </c>
      <c r="D100" s="2" t="s">
        <v>39</v>
      </c>
      <c r="E100" s="2" t="s">
        <v>40</v>
      </c>
      <c r="F100" s="2" t="s">
        <v>41</v>
      </c>
      <c r="G100" s="3">
        <v>340</v>
      </c>
      <c r="H100" s="3">
        <v>0</v>
      </c>
      <c r="I100" s="3">
        <v>340</v>
      </c>
      <c r="K100" s="3">
        <f>AxTable1[[#This Row],[Deliver remainder]]-AxTable1[[#This Row],[TSI/CSATX260214NC-CAM-ETA 02/03/2026]]</f>
        <v>340</v>
      </c>
      <c r="L100" s="3" t="s">
        <v>202</v>
      </c>
      <c r="M100" s="4">
        <v>46076</v>
      </c>
      <c r="N100" s="4">
        <v>46092</v>
      </c>
      <c r="P100" s="2" t="s">
        <v>25</v>
      </c>
    </row>
    <row r="101" spans="1:16" hidden="1" x14ac:dyDescent="0.25">
      <c r="A101" s="1">
        <v>46063.519525463002</v>
      </c>
      <c r="B101" s="2" t="s">
        <v>13</v>
      </c>
      <c r="C101" s="2" t="s">
        <v>157</v>
      </c>
      <c r="D101" s="2" t="s">
        <v>21</v>
      </c>
      <c r="E101" s="2" t="s">
        <v>110</v>
      </c>
      <c r="F101" s="2" t="s">
        <v>23</v>
      </c>
      <c r="G101" s="3">
        <v>139</v>
      </c>
      <c r="H101" s="3">
        <v>0</v>
      </c>
      <c r="I101" s="3">
        <v>139</v>
      </c>
      <c r="J101" s="3">
        <v>139</v>
      </c>
      <c r="K101" s="3">
        <f>AxTable1[[#This Row],[Deliver remainder]]-AxTable1[[#This Row],[TSI/CSATX260214NC-CAM-ETA 02/03/2026]]</f>
        <v>0</v>
      </c>
      <c r="L101" s="3" t="s">
        <v>201</v>
      </c>
      <c r="M101" s="4">
        <v>46101</v>
      </c>
      <c r="N101" s="4">
        <v>46085</v>
      </c>
      <c r="O101" s="2" t="s">
        <v>158</v>
      </c>
      <c r="P101" s="2" t="s">
        <v>42</v>
      </c>
    </row>
    <row r="102" spans="1:16" hidden="1" x14ac:dyDescent="0.25">
      <c r="A102" s="1">
        <v>46063.519930555602</v>
      </c>
      <c r="B102" s="2" t="s">
        <v>13</v>
      </c>
      <c r="C102" s="2" t="s">
        <v>157</v>
      </c>
      <c r="D102" s="2" t="s">
        <v>21</v>
      </c>
      <c r="E102" s="2" t="s">
        <v>74</v>
      </c>
      <c r="F102" s="2" t="s">
        <v>23</v>
      </c>
      <c r="G102" s="3">
        <v>43</v>
      </c>
      <c r="H102" s="3">
        <v>0</v>
      </c>
      <c r="I102" s="3">
        <v>43</v>
      </c>
      <c r="J102" s="3">
        <v>43</v>
      </c>
      <c r="K102" s="3">
        <f>AxTable1[[#This Row],[Deliver remainder]]-AxTable1[[#This Row],[TSI/CSATX260214NC-CAM-ETA 02/03/2026]]</f>
        <v>0</v>
      </c>
      <c r="L102" s="3" t="s">
        <v>201</v>
      </c>
      <c r="M102" s="4">
        <v>46101</v>
      </c>
      <c r="N102" s="4">
        <v>46085</v>
      </c>
      <c r="O102" s="2" t="s">
        <v>158</v>
      </c>
      <c r="P102" s="2" t="s">
        <v>42</v>
      </c>
    </row>
    <row r="103" spans="1:16" hidden="1" x14ac:dyDescent="0.25">
      <c r="A103" s="1">
        <v>46064.3751388889</v>
      </c>
      <c r="B103" s="2" t="s">
        <v>13</v>
      </c>
      <c r="C103" s="2" t="s">
        <v>159</v>
      </c>
      <c r="D103" s="2" t="s">
        <v>27</v>
      </c>
      <c r="E103" s="2" t="s">
        <v>74</v>
      </c>
      <c r="F103" s="2" t="s">
        <v>29</v>
      </c>
      <c r="G103" s="3">
        <v>13</v>
      </c>
      <c r="H103" s="3">
        <v>0</v>
      </c>
      <c r="I103" s="3">
        <v>13</v>
      </c>
      <c r="J103" s="3">
        <v>13</v>
      </c>
      <c r="K103" s="3">
        <f>AxTable1[[#This Row],[Deliver remainder]]-AxTable1[[#This Row],[TSI/CSATX260214NC-CAM-ETA 02/03/2026]]</f>
        <v>0</v>
      </c>
      <c r="L103" s="3" t="s">
        <v>201</v>
      </c>
      <c r="M103" s="4">
        <v>46101</v>
      </c>
      <c r="N103" s="4">
        <v>46085</v>
      </c>
      <c r="O103" s="2" t="s">
        <v>160</v>
      </c>
      <c r="P103" s="2" t="s">
        <v>25</v>
      </c>
    </row>
    <row r="104" spans="1:16" hidden="1" x14ac:dyDescent="0.25">
      <c r="A104" s="1">
        <v>46064.377928240698</v>
      </c>
      <c r="B104" s="2" t="s">
        <v>13</v>
      </c>
      <c r="C104" s="2" t="s">
        <v>159</v>
      </c>
      <c r="D104" s="2" t="s">
        <v>27</v>
      </c>
      <c r="E104" s="2" t="s">
        <v>74</v>
      </c>
      <c r="F104" s="2" t="s">
        <v>29</v>
      </c>
      <c r="G104" s="3">
        <v>2</v>
      </c>
      <c r="H104" s="3">
        <v>0</v>
      </c>
      <c r="I104" s="3">
        <v>2</v>
      </c>
      <c r="J104" s="3">
        <v>2</v>
      </c>
      <c r="K104" s="3">
        <f>AxTable1[[#This Row],[Deliver remainder]]-AxTable1[[#This Row],[TSI/CSATX260214NC-CAM-ETA 02/03/2026]]</f>
        <v>0</v>
      </c>
      <c r="L104" s="3" t="s">
        <v>201</v>
      </c>
      <c r="M104" s="4">
        <v>46101</v>
      </c>
      <c r="N104" s="4">
        <v>46085</v>
      </c>
      <c r="O104" s="2" t="s">
        <v>117</v>
      </c>
      <c r="P104" s="2" t="s">
        <v>42</v>
      </c>
    </row>
    <row r="105" spans="1:16" hidden="1" x14ac:dyDescent="0.25">
      <c r="A105" s="1">
        <v>46064.383101851898</v>
      </c>
      <c r="B105" s="2" t="s">
        <v>13</v>
      </c>
      <c r="C105" s="2" t="s">
        <v>161</v>
      </c>
      <c r="D105" s="2" t="s">
        <v>21</v>
      </c>
      <c r="E105" s="2" t="s">
        <v>162</v>
      </c>
      <c r="F105" s="2" t="s">
        <v>23</v>
      </c>
      <c r="G105" s="3">
        <v>10</v>
      </c>
      <c r="H105" s="3">
        <v>0</v>
      </c>
      <c r="I105" s="3">
        <v>10</v>
      </c>
      <c r="J105" s="3">
        <v>10</v>
      </c>
      <c r="K105" s="3">
        <f>AxTable1[[#This Row],[Deliver remainder]]-AxTable1[[#This Row],[TSI/CSATX260214NC-CAM-ETA 02/03/2026]]</f>
        <v>0</v>
      </c>
      <c r="L105" s="3" t="s">
        <v>201</v>
      </c>
      <c r="M105" s="4">
        <v>46101</v>
      </c>
      <c r="N105" s="4">
        <v>46085</v>
      </c>
      <c r="O105" s="2" t="s">
        <v>163</v>
      </c>
      <c r="P105" s="2" t="s">
        <v>25</v>
      </c>
    </row>
    <row r="106" spans="1:16" hidden="1" x14ac:dyDescent="0.25">
      <c r="A106" s="1">
        <v>46064.383796296301</v>
      </c>
      <c r="B106" s="2" t="s">
        <v>13</v>
      </c>
      <c r="C106" s="2" t="s">
        <v>161</v>
      </c>
      <c r="D106" s="2" t="s">
        <v>21</v>
      </c>
      <c r="E106" s="2" t="s">
        <v>74</v>
      </c>
      <c r="F106" s="2" t="s">
        <v>23</v>
      </c>
      <c r="G106" s="3">
        <v>158</v>
      </c>
      <c r="H106" s="3">
        <v>0</v>
      </c>
      <c r="I106" s="3">
        <v>158</v>
      </c>
      <c r="J106" s="3">
        <v>158</v>
      </c>
      <c r="K106" s="3">
        <f>AxTable1[[#This Row],[Deliver remainder]]-AxTable1[[#This Row],[TSI/CSATX260214NC-CAM-ETA 02/03/2026]]</f>
        <v>0</v>
      </c>
      <c r="L106" s="3" t="s">
        <v>201</v>
      </c>
      <c r="M106" s="4">
        <v>46101</v>
      </c>
      <c r="N106" s="4">
        <v>46085</v>
      </c>
      <c r="O106" s="2" t="s">
        <v>164</v>
      </c>
      <c r="P106" s="2" t="s">
        <v>42</v>
      </c>
    </row>
    <row r="107" spans="1:16" hidden="1" x14ac:dyDescent="0.25">
      <c r="A107" s="1">
        <v>46064.385520833297</v>
      </c>
      <c r="B107" s="2" t="s">
        <v>13</v>
      </c>
      <c r="C107" s="2" t="s">
        <v>161</v>
      </c>
      <c r="D107" s="2" t="s">
        <v>21</v>
      </c>
      <c r="E107" s="2" t="s">
        <v>74</v>
      </c>
      <c r="F107" s="2" t="s">
        <v>23</v>
      </c>
      <c r="G107" s="3">
        <v>1</v>
      </c>
      <c r="H107" s="3">
        <v>0</v>
      </c>
      <c r="I107" s="3">
        <v>1</v>
      </c>
      <c r="J107" s="3">
        <v>1</v>
      </c>
      <c r="K107" s="3">
        <f>AxTable1[[#This Row],[Deliver remainder]]-AxTable1[[#This Row],[TSI/CSATX260214NC-CAM-ETA 02/03/2026]]</f>
        <v>0</v>
      </c>
      <c r="L107" s="3" t="s">
        <v>201</v>
      </c>
      <c r="M107" s="4">
        <v>46101</v>
      </c>
      <c r="N107" s="4">
        <v>46085</v>
      </c>
      <c r="O107" s="2" t="s">
        <v>116</v>
      </c>
      <c r="P107" s="2" t="s">
        <v>42</v>
      </c>
    </row>
    <row r="108" spans="1:16" hidden="1" x14ac:dyDescent="0.25">
      <c r="A108" s="1">
        <v>46064.390474537002</v>
      </c>
      <c r="B108" s="2" t="s">
        <v>13</v>
      </c>
      <c r="C108" s="2" t="s">
        <v>161</v>
      </c>
      <c r="D108" s="2" t="s">
        <v>21</v>
      </c>
      <c r="E108" s="2" t="s">
        <v>110</v>
      </c>
      <c r="F108" s="2" t="s">
        <v>23</v>
      </c>
      <c r="G108" s="3">
        <v>708</v>
      </c>
      <c r="H108" s="3">
        <v>0</v>
      </c>
      <c r="I108" s="3">
        <v>708</v>
      </c>
      <c r="J108" s="3">
        <v>708</v>
      </c>
      <c r="K108" s="3">
        <f>AxTable1[[#This Row],[Deliver remainder]]-AxTable1[[#This Row],[TSI/CSATX260214NC-CAM-ETA 02/03/2026]]</f>
        <v>0</v>
      </c>
      <c r="L108" s="3" t="s">
        <v>201</v>
      </c>
      <c r="M108" s="4">
        <v>46101</v>
      </c>
      <c r="N108" s="4">
        <v>46085</v>
      </c>
      <c r="O108" s="2" t="s">
        <v>165</v>
      </c>
      <c r="P108" s="2" t="s">
        <v>25</v>
      </c>
    </row>
    <row r="109" spans="1:16" hidden="1" x14ac:dyDescent="0.25">
      <c r="A109" s="1">
        <v>46066.4079166667</v>
      </c>
      <c r="B109" s="2" t="s">
        <v>13</v>
      </c>
      <c r="C109" s="2" t="s">
        <v>161</v>
      </c>
      <c r="D109" s="2" t="s">
        <v>21</v>
      </c>
      <c r="E109" s="2" t="s">
        <v>110</v>
      </c>
      <c r="F109" s="2" t="s">
        <v>23</v>
      </c>
      <c r="G109" s="3">
        <v>242</v>
      </c>
      <c r="H109" s="3">
        <v>0</v>
      </c>
      <c r="I109" s="3">
        <v>242</v>
      </c>
      <c r="J109" s="3">
        <v>242</v>
      </c>
      <c r="K109" s="3">
        <f>AxTable1[[#This Row],[Deliver remainder]]-AxTable1[[#This Row],[TSI/CSATX260214NC-CAM-ETA 02/03/2026]]</f>
        <v>0</v>
      </c>
      <c r="L109" s="3" t="s">
        <v>201</v>
      </c>
      <c r="M109" s="4">
        <v>46101</v>
      </c>
      <c r="N109" s="4">
        <v>46085</v>
      </c>
      <c r="O109" s="2" t="s">
        <v>166</v>
      </c>
      <c r="P109" s="2" t="s">
        <v>42</v>
      </c>
    </row>
    <row r="110" spans="1:16" hidden="1" x14ac:dyDescent="0.25">
      <c r="A110" s="1">
        <v>46066.415856481501</v>
      </c>
      <c r="B110" s="2" t="s">
        <v>13</v>
      </c>
      <c r="C110" s="2" t="s">
        <v>167</v>
      </c>
      <c r="D110" s="2" t="s">
        <v>21</v>
      </c>
      <c r="E110" s="2" t="s">
        <v>168</v>
      </c>
      <c r="F110" s="2" t="s">
        <v>23</v>
      </c>
      <c r="G110" s="3">
        <v>38</v>
      </c>
      <c r="H110" s="3">
        <v>0</v>
      </c>
      <c r="I110" s="3">
        <v>38</v>
      </c>
      <c r="J110" s="3">
        <v>38</v>
      </c>
      <c r="K110" s="3">
        <f>AxTable1[[#This Row],[Deliver remainder]]-AxTable1[[#This Row],[TSI/CSATX260214NC-CAM-ETA 02/03/2026]]</f>
        <v>0</v>
      </c>
      <c r="L110" s="3" t="s">
        <v>201</v>
      </c>
      <c r="M110" s="4">
        <v>46101</v>
      </c>
      <c r="N110" s="4">
        <v>46085</v>
      </c>
      <c r="O110" s="2" t="s">
        <v>169</v>
      </c>
      <c r="P110" s="2" t="s">
        <v>42</v>
      </c>
    </row>
    <row r="111" spans="1:16" hidden="1" x14ac:dyDescent="0.25">
      <c r="A111" s="1">
        <v>46066.416261574101</v>
      </c>
      <c r="B111" s="2" t="s">
        <v>13</v>
      </c>
      <c r="C111" s="2" t="s">
        <v>167</v>
      </c>
      <c r="D111" s="2" t="s">
        <v>21</v>
      </c>
      <c r="E111" s="2" t="s">
        <v>168</v>
      </c>
      <c r="F111" s="2" t="s">
        <v>23</v>
      </c>
      <c r="G111" s="3">
        <v>77</v>
      </c>
      <c r="H111" s="3">
        <v>0</v>
      </c>
      <c r="I111" s="3">
        <v>77</v>
      </c>
      <c r="J111" s="3">
        <v>77</v>
      </c>
      <c r="K111" s="3">
        <f>AxTable1[[#This Row],[Deliver remainder]]-AxTable1[[#This Row],[TSI/CSATX260214NC-CAM-ETA 02/03/2026]]</f>
        <v>0</v>
      </c>
      <c r="L111" s="3" t="s">
        <v>201</v>
      </c>
      <c r="M111" s="4">
        <v>46101</v>
      </c>
      <c r="N111" s="4">
        <v>46085</v>
      </c>
      <c r="O111" s="2" t="s">
        <v>170</v>
      </c>
      <c r="P111" s="2" t="s">
        <v>25</v>
      </c>
    </row>
    <row r="112" spans="1:16" hidden="1" x14ac:dyDescent="0.25">
      <c r="A112" s="1">
        <v>46069.638530092598</v>
      </c>
      <c r="B112" s="2" t="s">
        <v>13</v>
      </c>
      <c r="C112" s="2" t="s">
        <v>171</v>
      </c>
      <c r="D112" s="2" t="s">
        <v>46</v>
      </c>
      <c r="E112" s="2" t="s">
        <v>172</v>
      </c>
      <c r="F112" s="2" t="s">
        <v>17</v>
      </c>
      <c r="G112" s="3">
        <v>5</v>
      </c>
      <c r="H112" s="3">
        <v>0</v>
      </c>
      <c r="I112" s="3">
        <v>5</v>
      </c>
      <c r="K112" s="3">
        <f>AxTable1[[#This Row],[Deliver remainder]]-AxTable1[[#This Row],[TSI/CSATX260214NC-CAM-ETA 02/03/2026]]</f>
        <v>5</v>
      </c>
      <c r="M112" s="4">
        <v>46101</v>
      </c>
      <c r="N112" s="4">
        <v>46113</v>
      </c>
      <c r="P112" s="2" t="s">
        <v>42</v>
      </c>
    </row>
    <row r="113" spans="1:16" hidden="1" x14ac:dyDescent="0.25">
      <c r="A113" s="1">
        <v>46069.639282407399</v>
      </c>
      <c r="B113" s="2" t="s">
        <v>13</v>
      </c>
      <c r="C113" s="2" t="s">
        <v>171</v>
      </c>
      <c r="D113" s="2" t="s">
        <v>46</v>
      </c>
      <c r="E113" s="2" t="s">
        <v>47</v>
      </c>
      <c r="F113" s="2" t="s">
        <v>17</v>
      </c>
      <c r="G113" s="3">
        <v>5</v>
      </c>
      <c r="H113" s="3">
        <v>0</v>
      </c>
      <c r="I113" s="3">
        <v>5</v>
      </c>
      <c r="K113" s="3">
        <f>AxTable1[[#This Row],[Deliver remainder]]-AxTable1[[#This Row],[TSI/CSATX260214NC-CAM-ETA 02/03/2026]]</f>
        <v>5</v>
      </c>
      <c r="M113" s="4">
        <v>46101</v>
      </c>
      <c r="N113" s="4">
        <v>46113</v>
      </c>
      <c r="P113" s="2" t="s">
        <v>42</v>
      </c>
    </row>
    <row r="114" spans="1:16" hidden="1" x14ac:dyDescent="0.25">
      <c r="A114" s="1">
        <v>46069.639467592599</v>
      </c>
      <c r="B114" s="2" t="s">
        <v>13</v>
      </c>
      <c r="C114" s="2" t="s">
        <v>171</v>
      </c>
      <c r="D114" s="2" t="s">
        <v>46</v>
      </c>
      <c r="E114" s="2" t="s">
        <v>74</v>
      </c>
      <c r="F114" s="2" t="s">
        <v>17</v>
      </c>
      <c r="G114" s="3">
        <v>5</v>
      </c>
      <c r="H114" s="3">
        <v>0</v>
      </c>
      <c r="I114" s="3">
        <v>5</v>
      </c>
      <c r="K114" s="3">
        <f>AxTable1[[#This Row],[Deliver remainder]]-AxTable1[[#This Row],[TSI/CSATX260214NC-CAM-ETA 02/03/2026]]</f>
        <v>5</v>
      </c>
      <c r="M114" s="4">
        <v>46101</v>
      </c>
      <c r="N114" s="4">
        <v>46113</v>
      </c>
      <c r="P114" s="2" t="s">
        <v>42</v>
      </c>
    </row>
    <row r="115" spans="1:16" hidden="1" x14ac:dyDescent="0.25">
      <c r="A115" s="1">
        <v>46069.659050925897</v>
      </c>
      <c r="B115" s="2" t="s">
        <v>13</v>
      </c>
      <c r="C115" s="2" t="s">
        <v>173</v>
      </c>
      <c r="D115" s="2" t="s">
        <v>174</v>
      </c>
      <c r="E115" s="2" t="s">
        <v>110</v>
      </c>
      <c r="F115" s="2" t="s">
        <v>23</v>
      </c>
      <c r="G115" s="3">
        <v>22</v>
      </c>
      <c r="H115" s="3">
        <v>0</v>
      </c>
      <c r="I115" s="3">
        <v>22</v>
      </c>
      <c r="K115" s="3">
        <f>AxTable1[[#This Row],[Deliver remainder]]-AxTable1[[#This Row],[TSI/CSATX260214NC-CAM-ETA 02/03/2026]]</f>
        <v>22</v>
      </c>
      <c r="M115" s="4">
        <v>46101</v>
      </c>
      <c r="N115" s="4">
        <v>46113</v>
      </c>
      <c r="P115" s="2" t="s">
        <v>42</v>
      </c>
    </row>
    <row r="116" spans="1:16" hidden="1" x14ac:dyDescent="0.25">
      <c r="A116" s="1">
        <v>46070.6020601852</v>
      </c>
      <c r="B116" s="2" t="s">
        <v>13</v>
      </c>
      <c r="C116" s="2" t="s">
        <v>175</v>
      </c>
      <c r="D116" s="2" t="s">
        <v>85</v>
      </c>
      <c r="E116" s="2" t="s">
        <v>44</v>
      </c>
      <c r="F116" s="2" t="s">
        <v>86</v>
      </c>
      <c r="G116" s="3">
        <v>150</v>
      </c>
      <c r="H116" s="3">
        <v>0</v>
      </c>
      <c r="I116" s="3">
        <v>150</v>
      </c>
      <c r="K116" s="3">
        <f>AxTable1[[#This Row],[Deliver remainder]]-AxTable1[[#This Row],[TSI/CSATX260214NC-CAM-ETA 02/03/2026]]</f>
        <v>150</v>
      </c>
      <c r="M116" s="4">
        <v>46101</v>
      </c>
      <c r="N116" s="4">
        <v>46113</v>
      </c>
      <c r="P116" s="2" t="s">
        <v>42</v>
      </c>
    </row>
    <row r="117" spans="1:16" hidden="1" x14ac:dyDescent="0.25">
      <c r="A117" s="1">
        <v>46070.605254629598</v>
      </c>
      <c r="B117" s="2" t="s">
        <v>13</v>
      </c>
      <c r="C117" s="2" t="s">
        <v>176</v>
      </c>
      <c r="D117" s="2" t="s">
        <v>39</v>
      </c>
      <c r="E117" s="2" t="s">
        <v>40</v>
      </c>
      <c r="F117" s="2" t="s">
        <v>41</v>
      </c>
      <c r="G117" s="3">
        <v>1110</v>
      </c>
      <c r="H117" s="3">
        <v>0</v>
      </c>
      <c r="I117" s="3">
        <v>1110</v>
      </c>
      <c r="K117" s="3">
        <f>AxTable1[[#This Row],[Deliver remainder]]-AxTable1[[#This Row],[TSI/CSATX260214NC-CAM-ETA 02/03/2026]]</f>
        <v>1110</v>
      </c>
      <c r="M117" s="4">
        <v>46111</v>
      </c>
      <c r="N117" s="4">
        <v>46120</v>
      </c>
      <c r="O117" s="2" t="s">
        <v>89</v>
      </c>
      <c r="P117" s="2" t="s">
        <v>42</v>
      </c>
    </row>
    <row r="118" spans="1:16" hidden="1" x14ac:dyDescent="0.25">
      <c r="A118" s="1">
        <v>46071.555729166699</v>
      </c>
      <c r="B118" s="2" t="s">
        <v>13</v>
      </c>
      <c r="C118" s="2" t="s">
        <v>177</v>
      </c>
      <c r="D118" s="2" t="s">
        <v>46</v>
      </c>
      <c r="E118" s="2" t="s">
        <v>93</v>
      </c>
      <c r="F118" s="2" t="s">
        <v>17</v>
      </c>
      <c r="G118" s="3">
        <v>5</v>
      </c>
      <c r="H118" s="3">
        <v>0</v>
      </c>
      <c r="I118" s="3">
        <v>5</v>
      </c>
      <c r="K118" s="3">
        <f>AxTable1[[#This Row],[Deliver remainder]]-AxTable1[[#This Row],[TSI/CSATX260214NC-CAM-ETA 02/03/2026]]</f>
        <v>5</v>
      </c>
      <c r="O118" s="2" t="s">
        <v>178</v>
      </c>
      <c r="P118" s="2" t="s">
        <v>19</v>
      </c>
    </row>
    <row r="119" spans="1:16" hidden="1" x14ac:dyDescent="0.25">
      <c r="A119" s="1">
        <v>46072.365960648101</v>
      </c>
      <c r="B119" s="2" t="s">
        <v>13</v>
      </c>
      <c r="C119" s="2" t="s">
        <v>179</v>
      </c>
      <c r="D119" s="2" t="s">
        <v>85</v>
      </c>
      <c r="E119" s="2" t="s">
        <v>44</v>
      </c>
      <c r="F119" s="2" t="s">
        <v>86</v>
      </c>
      <c r="G119" s="3">
        <v>125</v>
      </c>
      <c r="H119" s="3">
        <v>0</v>
      </c>
      <c r="I119" s="3">
        <v>125</v>
      </c>
      <c r="K119" s="3">
        <f>AxTable1[[#This Row],[Deliver remainder]]-AxTable1[[#This Row],[TSI/CSATX260214NC-CAM-ETA 02/03/2026]]</f>
        <v>125</v>
      </c>
      <c r="M119" s="4">
        <v>46101</v>
      </c>
      <c r="N119" s="4">
        <v>46113</v>
      </c>
      <c r="O119" s="2" t="s">
        <v>89</v>
      </c>
      <c r="P119" s="2" t="s">
        <v>42</v>
      </c>
    </row>
    <row r="120" spans="1:16" hidden="1" x14ac:dyDescent="0.25">
      <c r="A120" s="1">
        <v>46072.410914351902</v>
      </c>
      <c r="B120" s="2" t="s">
        <v>13</v>
      </c>
      <c r="C120" s="2" t="s">
        <v>180</v>
      </c>
      <c r="D120" s="2" t="s">
        <v>27</v>
      </c>
      <c r="E120" s="2" t="s">
        <v>181</v>
      </c>
      <c r="F120" s="2" t="s">
        <v>29</v>
      </c>
      <c r="G120" s="3">
        <v>10</v>
      </c>
      <c r="H120" s="3">
        <v>0</v>
      </c>
      <c r="I120" s="3">
        <v>10</v>
      </c>
      <c r="K120" s="3">
        <f>AxTable1[[#This Row],[Deliver remainder]]-AxTable1[[#This Row],[TSI/CSATX260214NC-CAM-ETA 02/03/2026]]</f>
        <v>10</v>
      </c>
      <c r="M120" s="4">
        <v>46101</v>
      </c>
      <c r="N120" s="4">
        <v>46113</v>
      </c>
      <c r="O120" s="2" t="s">
        <v>182</v>
      </c>
      <c r="P120" s="2" t="s">
        <v>42</v>
      </c>
    </row>
    <row r="121" spans="1:16" hidden="1" x14ac:dyDescent="0.25">
      <c r="A121" s="1">
        <v>46074.3960532407</v>
      </c>
      <c r="B121" s="2" t="s">
        <v>13</v>
      </c>
      <c r="C121" s="2" t="s">
        <v>183</v>
      </c>
      <c r="D121" s="2" t="s">
        <v>15</v>
      </c>
      <c r="E121" s="2" t="s">
        <v>16</v>
      </c>
      <c r="F121" s="2" t="s">
        <v>17</v>
      </c>
      <c r="G121" s="3">
        <v>60</v>
      </c>
      <c r="H121" s="3">
        <v>0</v>
      </c>
      <c r="I121" s="3">
        <v>60</v>
      </c>
      <c r="K121" s="3">
        <f>AxTable1[[#This Row],[Deliver remainder]]-AxTable1[[#This Row],[TSI/CSATX260214NC-CAM-ETA 02/03/2026]]</f>
        <v>60</v>
      </c>
      <c r="O121" s="2" t="s">
        <v>184</v>
      </c>
      <c r="P121" s="2" t="s">
        <v>42</v>
      </c>
    </row>
    <row r="122" spans="1:16" hidden="1" x14ac:dyDescent="0.25">
      <c r="A122" s="1">
        <v>46076.545428240701</v>
      </c>
      <c r="B122" s="2" t="s">
        <v>13</v>
      </c>
      <c r="C122" s="2" t="s">
        <v>185</v>
      </c>
      <c r="D122" s="2" t="s">
        <v>85</v>
      </c>
      <c r="E122" s="2" t="s">
        <v>65</v>
      </c>
      <c r="F122" s="2" t="s">
        <v>86</v>
      </c>
      <c r="G122" s="3">
        <v>98</v>
      </c>
      <c r="H122" s="3">
        <v>0</v>
      </c>
      <c r="I122" s="3">
        <v>98</v>
      </c>
      <c r="K122" s="3">
        <f>AxTable1[[#This Row],[Deliver remainder]]-AxTable1[[#This Row],[TSI/CSATX260214NC-CAM-ETA 02/03/2026]]</f>
        <v>98</v>
      </c>
      <c r="M122" s="4">
        <v>46101</v>
      </c>
      <c r="N122" s="4">
        <v>46113</v>
      </c>
      <c r="O122" s="2" t="s">
        <v>186</v>
      </c>
      <c r="P122" s="2" t="s">
        <v>25</v>
      </c>
    </row>
    <row r="123" spans="1:16" hidden="1" x14ac:dyDescent="0.25">
      <c r="A123" s="1">
        <v>46076.5456134259</v>
      </c>
      <c r="B123" s="2" t="s">
        <v>13</v>
      </c>
      <c r="C123" s="2" t="s">
        <v>185</v>
      </c>
      <c r="D123" s="2" t="s">
        <v>85</v>
      </c>
      <c r="E123" s="2" t="s">
        <v>44</v>
      </c>
      <c r="F123" s="2" t="s">
        <v>86</v>
      </c>
      <c r="G123" s="3">
        <v>416</v>
      </c>
      <c r="H123" s="3">
        <v>0</v>
      </c>
      <c r="I123" s="3">
        <v>416</v>
      </c>
      <c r="K123" s="3">
        <f>AxTable1[[#This Row],[Deliver remainder]]-AxTable1[[#This Row],[TSI/CSATX260214NC-CAM-ETA 02/03/2026]]</f>
        <v>416</v>
      </c>
      <c r="M123" s="4">
        <v>46101</v>
      </c>
      <c r="N123" s="4">
        <v>46113</v>
      </c>
      <c r="O123" s="2" t="s">
        <v>187</v>
      </c>
      <c r="P123" s="2" t="s">
        <v>25</v>
      </c>
    </row>
    <row r="124" spans="1:16" hidden="1" x14ac:dyDescent="0.25">
      <c r="A124" s="1">
        <v>46077.611643518503</v>
      </c>
      <c r="B124" s="2" t="s">
        <v>13</v>
      </c>
      <c r="C124" s="2" t="s">
        <v>188</v>
      </c>
      <c r="D124" s="2" t="s">
        <v>21</v>
      </c>
      <c r="E124" s="2" t="s">
        <v>67</v>
      </c>
      <c r="F124" s="2" t="s">
        <v>23</v>
      </c>
      <c r="G124" s="3">
        <v>2</v>
      </c>
      <c r="H124" s="3">
        <v>0</v>
      </c>
      <c r="I124" s="3">
        <v>2</v>
      </c>
      <c r="K124" s="3">
        <f>AxTable1[[#This Row],[Deliver remainder]]-AxTable1[[#This Row],[TSI/CSATX260214NC-CAM-ETA 02/03/2026]]</f>
        <v>2</v>
      </c>
      <c r="O124" s="2" t="s">
        <v>189</v>
      </c>
      <c r="P124" s="2" t="s">
        <v>25</v>
      </c>
    </row>
    <row r="125" spans="1:16" hidden="1" x14ac:dyDescent="0.25">
      <c r="A125" s="1">
        <v>46077.618321759299</v>
      </c>
      <c r="B125" s="2" t="s">
        <v>13</v>
      </c>
      <c r="C125" s="2" t="s">
        <v>188</v>
      </c>
      <c r="D125" s="2" t="s">
        <v>21</v>
      </c>
      <c r="E125" s="2" t="s">
        <v>65</v>
      </c>
      <c r="F125" s="2" t="s">
        <v>23</v>
      </c>
      <c r="G125" s="3">
        <v>81</v>
      </c>
      <c r="H125" s="3">
        <v>0</v>
      </c>
      <c r="I125" s="3">
        <v>81</v>
      </c>
      <c r="K125" s="3">
        <f>AxTable1[[#This Row],[Deliver remainder]]-AxTable1[[#This Row],[TSI/CSATX260214NC-CAM-ETA 02/03/2026]]</f>
        <v>81</v>
      </c>
      <c r="O125" s="2" t="s">
        <v>190</v>
      </c>
      <c r="P125" s="2" t="s">
        <v>25</v>
      </c>
    </row>
    <row r="126" spans="1:16" hidden="1" x14ac:dyDescent="0.25">
      <c r="A126" s="1">
        <v>46077.618460648097</v>
      </c>
      <c r="B126" s="2" t="s">
        <v>13</v>
      </c>
      <c r="C126" s="2" t="s">
        <v>188</v>
      </c>
      <c r="D126" s="2" t="s">
        <v>21</v>
      </c>
      <c r="E126" s="2" t="s">
        <v>65</v>
      </c>
      <c r="F126" s="2" t="s">
        <v>23</v>
      </c>
      <c r="G126" s="3">
        <v>8</v>
      </c>
      <c r="H126" s="3">
        <v>0</v>
      </c>
      <c r="I126" s="3">
        <v>8</v>
      </c>
      <c r="K126" s="3">
        <f>AxTable1[[#This Row],[Deliver remainder]]-AxTable1[[#This Row],[TSI/CSATX260214NC-CAM-ETA 02/03/2026]]</f>
        <v>8</v>
      </c>
      <c r="O126" s="2" t="s">
        <v>191</v>
      </c>
      <c r="P126" s="2" t="s">
        <v>42</v>
      </c>
    </row>
    <row r="127" spans="1:16" hidden="1" x14ac:dyDescent="0.25">
      <c r="A127" s="1">
        <v>46077.623101851903</v>
      </c>
      <c r="B127" s="2" t="s">
        <v>13</v>
      </c>
      <c r="C127" s="2" t="s">
        <v>192</v>
      </c>
      <c r="D127" s="2" t="s">
        <v>57</v>
      </c>
      <c r="E127" s="2" t="s">
        <v>193</v>
      </c>
      <c r="F127" s="2" t="s">
        <v>59</v>
      </c>
      <c r="G127" s="3">
        <v>39</v>
      </c>
      <c r="H127" s="3">
        <v>0</v>
      </c>
      <c r="I127" s="3">
        <v>39</v>
      </c>
      <c r="K127" s="3">
        <f>AxTable1[[#This Row],[Deliver remainder]]-AxTable1[[#This Row],[TSI/CSATX260214NC-CAM-ETA 02/03/2026]]</f>
        <v>39</v>
      </c>
      <c r="O127" s="2" t="s">
        <v>194</v>
      </c>
      <c r="P127" s="2" t="s">
        <v>25</v>
      </c>
    </row>
    <row r="128" spans="1:16" hidden="1" x14ac:dyDescent="0.25">
      <c r="A128" s="1">
        <v>46077.633703703701</v>
      </c>
      <c r="B128" s="2" t="s">
        <v>13</v>
      </c>
      <c r="C128" s="2" t="s">
        <v>192</v>
      </c>
      <c r="D128" s="2" t="s">
        <v>57</v>
      </c>
      <c r="E128" s="2" t="s">
        <v>193</v>
      </c>
      <c r="F128" s="2" t="s">
        <v>59</v>
      </c>
      <c r="G128" s="3">
        <v>1</v>
      </c>
      <c r="H128" s="3">
        <v>0</v>
      </c>
      <c r="I128" s="3">
        <v>1</v>
      </c>
      <c r="K128" s="3">
        <f>AxTable1[[#This Row],[Deliver remainder]]-AxTable1[[#This Row],[TSI/CSATX260214NC-CAM-ETA 02/03/2026]]</f>
        <v>1</v>
      </c>
      <c r="O128" s="2" t="s">
        <v>63</v>
      </c>
      <c r="P128" s="2" t="s">
        <v>42</v>
      </c>
    </row>
    <row r="129" spans="1:16" hidden="1" x14ac:dyDescent="0.25">
      <c r="A129" s="1">
        <v>46077.639537037001</v>
      </c>
      <c r="B129" s="2" t="s">
        <v>13</v>
      </c>
      <c r="C129" s="2" t="s">
        <v>195</v>
      </c>
      <c r="D129" s="2" t="s">
        <v>85</v>
      </c>
      <c r="E129" s="2" t="s">
        <v>65</v>
      </c>
      <c r="F129" s="2" t="s">
        <v>86</v>
      </c>
      <c r="G129" s="3">
        <v>32</v>
      </c>
      <c r="H129" s="3">
        <v>0</v>
      </c>
      <c r="I129" s="3">
        <v>32</v>
      </c>
      <c r="K129" s="3">
        <f>AxTable1[[#This Row],[Deliver remainder]]-AxTable1[[#This Row],[TSI/CSATX260214NC-CAM-ETA 02/03/2026]]</f>
        <v>32</v>
      </c>
      <c r="P129" s="2" t="s">
        <v>25</v>
      </c>
    </row>
    <row r="130" spans="1:16" hidden="1" x14ac:dyDescent="0.25">
      <c r="A130" s="1">
        <v>46077.6402199074</v>
      </c>
      <c r="B130" s="2" t="s">
        <v>13</v>
      </c>
      <c r="C130" s="2" t="s">
        <v>195</v>
      </c>
      <c r="D130" s="2" t="s">
        <v>85</v>
      </c>
      <c r="E130" s="2" t="s">
        <v>65</v>
      </c>
      <c r="F130" s="2" t="s">
        <v>86</v>
      </c>
      <c r="G130" s="3">
        <v>4</v>
      </c>
      <c r="H130" s="3">
        <v>0</v>
      </c>
      <c r="I130" s="3">
        <v>4</v>
      </c>
      <c r="K130" s="3">
        <f>AxTable1[[#This Row],[Deliver remainder]]-AxTable1[[#This Row],[TSI/CSATX260214NC-CAM-ETA 02/03/2026]]</f>
        <v>4</v>
      </c>
      <c r="O130" s="2" t="s">
        <v>191</v>
      </c>
      <c r="P130" s="2" t="s">
        <v>42</v>
      </c>
    </row>
    <row r="131" spans="1:16" hidden="1" x14ac:dyDescent="0.25">
      <c r="A131" s="1">
        <v>46077.6407175926</v>
      </c>
      <c r="B131" s="2" t="s">
        <v>13</v>
      </c>
      <c r="C131" s="2" t="s">
        <v>195</v>
      </c>
      <c r="D131" s="2" t="s">
        <v>85</v>
      </c>
      <c r="E131" s="2" t="s">
        <v>44</v>
      </c>
      <c r="F131" s="2" t="s">
        <v>86</v>
      </c>
      <c r="G131" s="3">
        <v>77</v>
      </c>
      <c r="H131" s="3">
        <v>0</v>
      </c>
      <c r="I131" s="3">
        <v>77</v>
      </c>
      <c r="K131" s="3">
        <f>AxTable1[[#This Row],[Deliver remainder]]-AxTable1[[#This Row],[TSI/CSATX260214NC-CAM-ETA 02/03/2026]]</f>
        <v>77</v>
      </c>
      <c r="P131" s="2" t="s">
        <v>25</v>
      </c>
    </row>
    <row r="132" spans="1:16" hidden="1" x14ac:dyDescent="0.25">
      <c r="A132" s="1">
        <v>46077.6418865741</v>
      </c>
      <c r="B132" s="2" t="s">
        <v>13</v>
      </c>
      <c r="C132" s="2" t="s">
        <v>195</v>
      </c>
      <c r="D132" s="2" t="s">
        <v>85</v>
      </c>
      <c r="E132" s="2" t="s">
        <v>44</v>
      </c>
      <c r="F132" s="2" t="s">
        <v>86</v>
      </c>
      <c r="G132" s="3">
        <v>8</v>
      </c>
      <c r="H132" s="3">
        <v>0</v>
      </c>
      <c r="I132" s="3">
        <v>8</v>
      </c>
      <c r="K132" s="3">
        <f>AxTable1[[#This Row],[Deliver remainder]]-AxTable1[[#This Row],[TSI/CSATX260214NC-CAM-ETA 02/03/2026]]</f>
        <v>8</v>
      </c>
      <c r="O132" s="2" t="s">
        <v>191</v>
      </c>
      <c r="P132" s="2" t="s">
        <v>42</v>
      </c>
    </row>
    <row r="133" spans="1:16" hidden="1" x14ac:dyDescent="0.25">
      <c r="A133" s="1">
        <v>46077.649027777799</v>
      </c>
      <c r="B133" s="2" t="s">
        <v>13</v>
      </c>
      <c r="C133" s="2" t="s">
        <v>196</v>
      </c>
      <c r="D133" s="2" t="s">
        <v>39</v>
      </c>
      <c r="E133" s="2" t="s">
        <v>40</v>
      </c>
      <c r="F133" s="2" t="s">
        <v>41</v>
      </c>
      <c r="G133" s="3">
        <v>1000</v>
      </c>
      <c r="H133" s="3">
        <v>0</v>
      </c>
      <c r="I133" s="3">
        <v>1000</v>
      </c>
      <c r="K133" s="3">
        <f>AxTable1[[#This Row],[Deliver remainder]]-AxTable1[[#This Row],[TSI/CSATX260214NC-CAM-ETA 02/03/2026]]</f>
        <v>1000</v>
      </c>
      <c r="O133" s="2" t="s">
        <v>197</v>
      </c>
      <c r="P133" s="2" t="s">
        <v>25</v>
      </c>
    </row>
    <row r="137" spans="1:16" x14ac:dyDescent="0.25">
      <c r="A137" s="21" t="s">
        <v>213</v>
      </c>
      <c r="B137" s="22" t="s">
        <v>214</v>
      </c>
      <c r="C137" s="21" t="s">
        <v>215</v>
      </c>
      <c r="D137" s="21" t="s">
        <v>216</v>
      </c>
      <c r="E137" s="31" t="s">
        <v>217</v>
      </c>
      <c r="F137" s="23" t="s">
        <v>218</v>
      </c>
      <c r="G137" s="24"/>
      <c r="H137" s="25" t="s">
        <v>219</v>
      </c>
      <c r="I137" s="26"/>
      <c r="J137" s="20"/>
      <c r="K137" s="27" t="s">
        <v>220</v>
      </c>
      <c r="L137" s="28" t="s">
        <v>221</v>
      </c>
      <c r="M137" s="20"/>
      <c r="N137" s="29" t="s">
        <v>222</v>
      </c>
      <c r="O137" s="20"/>
    </row>
    <row r="138" spans="1:16" x14ac:dyDescent="0.25">
      <c r="A138" s="30"/>
      <c r="B138" s="22"/>
      <c r="C138" s="21"/>
      <c r="D138" s="21"/>
      <c r="E138" s="31"/>
      <c r="F138" s="23"/>
      <c r="G138" s="24"/>
      <c r="H138" s="25"/>
      <c r="I138" s="26"/>
      <c r="J138" s="28"/>
      <c r="K138" s="27"/>
      <c r="L138" s="20"/>
      <c r="M138" s="20"/>
      <c r="N138" s="20"/>
      <c r="O138" s="20"/>
    </row>
    <row r="139" spans="1:16" x14ac:dyDescent="0.25">
      <c r="B139" s="13" t="s">
        <v>90</v>
      </c>
      <c r="C139" s="14" t="s">
        <v>74</v>
      </c>
      <c r="D139" s="14">
        <v>216</v>
      </c>
      <c r="E139" s="32">
        <v>38950</v>
      </c>
      <c r="F139" s="15">
        <v>3690.7999999999993</v>
      </c>
      <c r="G139" s="16" t="s">
        <v>210</v>
      </c>
      <c r="H139" s="17">
        <f>D139*0.4+F139</f>
        <v>3777.1999999999994</v>
      </c>
      <c r="I139" s="14" t="s">
        <v>210</v>
      </c>
      <c r="J139" s="18"/>
      <c r="K139" s="19" t="s">
        <v>211</v>
      </c>
      <c r="L139" s="14">
        <v>274</v>
      </c>
      <c r="M139" s="14"/>
      <c r="N139" s="13" t="s">
        <v>212</v>
      </c>
    </row>
    <row r="140" spans="1:16" x14ac:dyDescent="0.25">
      <c r="B140" s="13" t="s">
        <v>90</v>
      </c>
      <c r="C140" s="14" t="s">
        <v>95</v>
      </c>
      <c r="D140" s="14">
        <v>8</v>
      </c>
      <c r="E140" s="32">
        <v>1429</v>
      </c>
      <c r="F140" s="15">
        <v>134.9</v>
      </c>
      <c r="G140" s="16" t="s">
        <v>210</v>
      </c>
      <c r="H140" s="17">
        <f>D140*0.4+F140</f>
        <v>138.1</v>
      </c>
      <c r="I140" s="14" t="s">
        <v>210</v>
      </c>
      <c r="J140" s="18"/>
      <c r="K140" s="19" t="s">
        <v>211</v>
      </c>
      <c r="L140" s="14">
        <v>0</v>
      </c>
      <c r="M140" s="14"/>
      <c r="N140" s="13" t="s">
        <v>212</v>
      </c>
    </row>
    <row r="141" spans="1:16" x14ac:dyDescent="0.25">
      <c r="B141" s="13" t="s">
        <v>90</v>
      </c>
      <c r="C141" s="14" t="s">
        <v>93</v>
      </c>
      <c r="D141" s="14">
        <v>89</v>
      </c>
      <c r="E141" s="32">
        <v>15966</v>
      </c>
      <c r="F141" s="15">
        <v>1505.3999999999996</v>
      </c>
      <c r="G141" s="16" t="s">
        <v>210</v>
      </c>
      <c r="H141" s="17">
        <f t="shared" ref="H141" si="0">D141*0.4+F141</f>
        <v>1540.9999999999995</v>
      </c>
      <c r="I141" s="14" t="s">
        <v>210</v>
      </c>
      <c r="J141" s="18"/>
      <c r="K141" s="19" t="s">
        <v>211</v>
      </c>
      <c r="L141" s="14">
        <v>0</v>
      </c>
      <c r="M141" s="14"/>
      <c r="N141" s="13" t="s">
        <v>212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TAC 51321473</dc:creator>
  <cp:lastModifiedBy>TAC 52521301</cp:lastModifiedBy>
  <dcterms:created xsi:type="dcterms:W3CDTF">2026-02-25T01:24:59Z</dcterms:created>
  <dcterms:modified xsi:type="dcterms:W3CDTF">2026-04-21T09:14:39Z</dcterms:modified>
</cp:coreProperties>
</file>